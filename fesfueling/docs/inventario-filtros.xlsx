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. Personal\FES\"/>
    </mc:Choice>
  </mc:AlternateContent>
  <xr:revisionPtr revIDLastSave="0" documentId="8_{CD79922E-0233-4B2C-A1F0-BA9EB400EB01}" xr6:coauthVersionLast="47" xr6:coauthVersionMax="47" xr10:uidLastSave="{00000000-0000-0000-0000-000000000000}"/>
  <bookViews>
    <workbookView xWindow="19080" yWindow="-120" windowWidth="29040" windowHeight="15840" activeTab="1" xr2:uid="{B084CB76-AE9B-47D8-B3C7-AF7EBF265131}"/>
  </bookViews>
  <sheets>
    <sheet name="Hoja2" sheetId="2" r:id="rId1"/>
    <sheet name="Hoja1" sheetId="1" r:id="rId2"/>
  </sheets>
  <definedNames>
    <definedName name="_xlnm._FilterDatabase" localSheetId="1" hidden="1">Hoja1!$G$1:$J$1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7" i="1"/>
  <c r="J19" i="1"/>
  <c r="J6" i="1"/>
  <c r="J13" i="1"/>
  <c r="J17" i="1"/>
  <c r="J9" i="1"/>
  <c r="J16" i="1"/>
  <c r="J12" i="1"/>
  <c r="J20" i="1"/>
  <c r="J23" i="1"/>
  <c r="J3" i="1"/>
  <c r="J22" i="1"/>
  <c r="J14" i="1"/>
  <c r="J4" i="1"/>
  <c r="J11" i="1"/>
  <c r="J2" i="1"/>
  <c r="J8" i="1"/>
  <c r="J10" i="1"/>
  <c r="J21" i="1"/>
  <c r="J15" i="1"/>
  <c r="J18" i="1"/>
  <c r="J5" i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4" i="2"/>
</calcChain>
</file>

<file path=xl/sharedStrings.xml><?xml version="1.0" encoding="utf-8"?>
<sst xmlns="http://schemas.openxmlformats.org/spreadsheetml/2006/main" count="116" uniqueCount="36">
  <si>
    <t>CANT ISTA</t>
  </si>
  <si>
    <t>PARA CAMB</t>
  </si>
  <si>
    <t>ACO 51201L</t>
  </si>
  <si>
    <t>ACO 51201P</t>
  </si>
  <si>
    <t>ACO 51201R</t>
  </si>
  <si>
    <t>CAA22-5SB</t>
  </si>
  <si>
    <t>CAA28-5SB</t>
  </si>
  <si>
    <t>CAA33-3SB</t>
  </si>
  <si>
    <t>CAA33-5SB</t>
  </si>
  <si>
    <t>CDF-230P</t>
  </si>
  <si>
    <t>FG-0-512-2</t>
  </si>
  <si>
    <t xml:space="preserve">FG-230-7 </t>
  </si>
  <si>
    <t>FG-O-609-2</t>
  </si>
  <si>
    <t>I-622C5TB</t>
  </si>
  <si>
    <t>I-628C5TB</t>
  </si>
  <si>
    <t>I-63383TB</t>
  </si>
  <si>
    <t>I-633C5TB</t>
  </si>
  <si>
    <t>ACO 52401R</t>
  </si>
  <si>
    <t>CAA14-5SB</t>
  </si>
  <si>
    <t>FG-O-512-2</t>
  </si>
  <si>
    <t>FO614-PL5</t>
  </si>
  <si>
    <t>I-61487TB</t>
  </si>
  <si>
    <t>I-62287TB</t>
  </si>
  <si>
    <t>I-62887TB</t>
  </si>
  <si>
    <t xml:space="preserve">Referencia </t>
  </si>
  <si>
    <t>Etiquetas de fila</t>
  </si>
  <si>
    <t>(en blanco)</t>
  </si>
  <si>
    <t>Total general</t>
  </si>
  <si>
    <t>Suma de CANT ISTA</t>
  </si>
  <si>
    <t>Suma de PARA CAMB</t>
  </si>
  <si>
    <t xml:space="preserve">Tiotal </t>
  </si>
  <si>
    <t>Inst</t>
  </si>
  <si>
    <t xml:space="preserve">Camiones </t>
  </si>
  <si>
    <t xml:space="preserve">Total </t>
  </si>
  <si>
    <t>Referencia</t>
  </si>
  <si>
    <t xml:space="preserve">Cantidad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</si>
</sst>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CALDERON" refreshedDate="46017.661602083332" createdVersion="8" refreshedVersion="8" minRefreshableVersion="3" recordCount="51" xr:uid="{FCBFB792-ECA6-4EC6-926E-E79F871F94B9}">
  <cacheSource type="worksheet">
    <worksheetSource ref="C1:E52" sheet="Hoja1"/>
  </cacheSource>
  <cacheFields count="3">
    <cacheField name="Referencia " numFmtId="0">
      <sharedItems containsBlank="1" count="23">
        <s v="ACO 51201L"/>
        <s v="ACO 51201P"/>
        <s v="ACO 51201R"/>
        <s v="CAA22-5SB"/>
        <s v="CAA28-5SB"/>
        <s v="CAA33-3SB"/>
        <s v="CAA33-5SB"/>
        <s v="CDF-230P"/>
        <s v="FG-0-512-2"/>
        <s v="FG-230-7 "/>
        <s v="FG-O-609-2"/>
        <s v="I-622C5TB"/>
        <s v="I-628C5TB"/>
        <s v="I-63383TB"/>
        <s v="I-633C5TB"/>
        <s v="ACO 52401R"/>
        <s v="CAA14-5SB"/>
        <s v="FG-O-512-2"/>
        <s v="FO614-PL5"/>
        <s v="I-61487TB"/>
        <s v="I-62287TB"/>
        <s v="I-62887TB"/>
        <m/>
      </sharedItems>
    </cacheField>
    <cacheField name="CANT ISTA" numFmtId="0">
      <sharedItems containsString="0" containsBlank="1" containsNumber="1" containsInteger="1" minValue="0" maxValue="37" count="14">
        <n v="2"/>
        <n v="4"/>
        <n v="11"/>
        <n v="6"/>
        <n v="21"/>
        <n v="10"/>
        <n v="27"/>
        <n v="1"/>
        <n v="3"/>
        <n v="8"/>
        <n v="37"/>
        <n v="0"/>
        <n v="7"/>
        <m/>
      </sharedItems>
    </cacheField>
    <cacheField name="PARA CAMB" numFmtId="0">
      <sharedItems containsString="0" containsBlank="1" containsNumber="1" containsInteger="1" minValue="0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n v="0"/>
  </r>
  <r>
    <x v="1"/>
    <x v="0"/>
    <n v="1"/>
  </r>
  <r>
    <x v="2"/>
    <x v="1"/>
    <n v="4"/>
  </r>
  <r>
    <x v="3"/>
    <x v="2"/>
    <n v="4"/>
  </r>
  <r>
    <x v="4"/>
    <x v="0"/>
    <n v="2"/>
  </r>
  <r>
    <x v="5"/>
    <x v="3"/>
    <n v="6"/>
  </r>
  <r>
    <x v="6"/>
    <x v="4"/>
    <n v="12"/>
  </r>
  <r>
    <x v="7"/>
    <x v="5"/>
    <n v="0"/>
  </r>
  <r>
    <x v="8"/>
    <x v="0"/>
    <n v="2"/>
  </r>
  <r>
    <x v="9"/>
    <x v="6"/>
    <n v="27"/>
  </r>
  <r>
    <x v="10"/>
    <x v="7"/>
    <n v="0"/>
  </r>
  <r>
    <x v="11"/>
    <x v="1"/>
    <n v="0"/>
  </r>
  <r>
    <x v="12"/>
    <x v="8"/>
    <n v="0"/>
  </r>
  <r>
    <x v="13"/>
    <x v="8"/>
    <n v="0"/>
  </r>
  <r>
    <x v="14"/>
    <x v="9"/>
    <n v="3"/>
  </r>
  <r>
    <x v="0"/>
    <x v="9"/>
    <n v="4"/>
  </r>
  <r>
    <x v="15"/>
    <x v="7"/>
    <n v="1"/>
  </r>
  <r>
    <x v="16"/>
    <x v="3"/>
    <n v="0"/>
  </r>
  <r>
    <x v="3"/>
    <x v="7"/>
    <n v="1"/>
  </r>
  <r>
    <x v="4"/>
    <x v="10"/>
    <n v="14"/>
  </r>
  <r>
    <x v="17"/>
    <x v="7"/>
    <n v="0"/>
  </r>
  <r>
    <x v="10"/>
    <x v="0"/>
    <n v="0"/>
  </r>
  <r>
    <x v="18"/>
    <x v="3"/>
    <n v="0"/>
  </r>
  <r>
    <x v="19"/>
    <x v="0"/>
    <n v="2"/>
  </r>
  <r>
    <x v="20"/>
    <x v="1"/>
    <n v="4"/>
  </r>
  <r>
    <x v="11"/>
    <x v="0"/>
    <n v="0"/>
  </r>
  <r>
    <x v="21"/>
    <x v="1"/>
    <n v="2"/>
  </r>
  <r>
    <x v="12"/>
    <x v="1"/>
    <n v="4"/>
  </r>
  <r>
    <x v="0"/>
    <x v="5"/>
    <n v="4"/>
  </r>
  <r>
    <x v="1"/>
    <x v="0"/>
    <n v="1"/>
  </r>
  <r>
    <x v="2"/>
    <x v="11"/>
    <n v="0"/>
  </r>
  <r>
    <x v="15"/>
    <x v="7"/>
    <n v="1"/>
  </r>
  <r>
    <x v="16"/>
    <x v="3"/>
    <n v="0"/>
  </r>
  <r>
    <x v="3"/>
    <x v="7"/>
    <n v="1"/>
  </r>
  <r>
    <x v="4"/>
    <x v="10"/>
    <n v="14"/>
  </r>
  <r>
    <x v="5"/>
    <x v="11"/>
    <n v="0"/>
  </r>
  <r>
    <x v="6"/>
    <x v="11"/>
    <n v="0"/>
  </r>
  <r>
    <x v="7"/>
    <x v="11"/>
    <n v="0"/>
  </r>
  <r>
    <x v="8"/>
    <x v="11"/>
    <n v="0"/>
  </r>
  <r>
    <x v="9"/>
    <x v="11"/>
    <n v="0"/>
  </r>
  <r>
    <x v="17"/>
    <x v="7"/>
    <n v="0"/>
  </r>
  <r>
    <x v="10"/>
    <x v="0"/>
    <n v="0"/>
  </r>
  <r>
    <x v="18"/>
    <x v="3"/>
    <n v="0"/>
  </r>
  <r>
    <x v="19"/>
    <x v="0"/>
    <n v="2"/>
  </r>
  <r>
    <x v="20"/>
    <x v="1"/>
    <n v="4"/>
  </r>
  <r>
    <x v="11"/>
    <x v="0"/>
    <n v="0"/>
  </r>
  <r>
    <x v="21"/>
    <x v="1"/>
    <n v="2"/>
  </r>
  <r>
    <x v="12"/>
    <x v="12"/>
    <n v="4"/>
  </r>
  <r>
    <x v="13"/>
    <x v="8"/>
    <n v="0"/>
  </r>
  <r>
    <x v="14"/>
    <x v="9"/>
    <n v="3"/>
  </r>
  <r>
    <x v="22"/>
    <x v="1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CF07C-B775-4F16-B19C-289DE993523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7" firstHeaderRow="0" firstDataRow="1" firstDataCol="1"/>
  <pivotFields count="3">
    <pivotField axis="axisRow" showAll="0">
      <items count="24">
        <item x="0"/>
        <item x="1"/>
        <item x="2"/>
        <item x="15"/>
        <item x="16"/>
        <item x="3"/>
        <item x="4"/>
        <item x="5"/>
        <item x="6"/>
        <item x="7"/>
        <item x="8"/>
        <item x="9"/>
        <item x="17"/>
        <item x="10"/>
        <item x="18"/>
        <item x="19"/>
        <item x="20"/>
        <item x="11"/>
        <item x="21"/>
        <item x="12"/>
        <item x="13"/>
        <item x="14"/>
        <item x="22"/>
        <item t="default"/>
      </items>
    </pivotField>
    <pivotField dataField="1" showAll="0">
      <items count="15">
        <item x="11"/>
        <item x="7"/>
        <item x="0"/>
        <item x="8"/>
        <item x="1"/>
        <item x="3"/>
        <item x="12"/>
        <item x="9"/>
        <item x="5"/>
        <item x="2"/>
        <item x="4"/>
        <item x="6"/>
        <item x="10"/>
        <item x="13"/>
        <item t="default"/>
      </items>
    </pivotField>
    <pivotField dataField="1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 ISTA" fld="1" baseField="0" baseItem="0"/>
    <dataField name="Suma de PARA CAMB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DE58-3469-4B37-A735-AB85CC390957}">
  <dimension ref="A3:O27"/>
  <sheetViews>
    <sheetView workbookViewId="0">
      <selection activeCell="C36" sqref="C36"/>
    </sheetView>
  </sheetViews>
  <sheetFormatPr baseColWidth="10" defaultRowHeight="15" x14ac:dyDescent="0.25"/>
  <cols>
    <col min="1" max="1" width="17.85546875" bestFit="1" customWidth="1"/>
    <col min="2" max="2" width="18.5703125" bestFit="1" customWidth="1"/>
    <col min="3" max="3" width="19.7109375" bestFit="1" customWidth="1"/>
    <col min="4" max="9" width="2" bestFit="1" customWidth="1"/>
    <col min="10" max="14" width="3" bestFit="1" customWidth="1"/>
    <col min="15" max="15" width="11.140625" bestFit="1" customWidth="1"/>
    <col min="16" max="16" width="12.5703125" bestFit="1" customWidth="1"/>
  </cols>
  <sheetData>
    <row r="3" spans="1:15" x14ac:dyDescent="0.25">
      <c r="A3" s="1" t="s">
        <v>25</v>
      </c>
      <c r="B3" t="s">
        <v>28</v>
      </c>
      <c r="C3" t="s">
        <v>29</v>
      </c>
      <c r="O3" t="s">
        <v>30</v>
      </c>
    </row>
    <row r="4" spans="1:15" x14ac:dyDescent="0.25">
      <c r="A4" s="2" t="s">
        <v>2</v>
      </c>
      <c r="B4" s="3">
        <v>20</v>
      </c>
      <c r="C4" s="3">
        <v>8</v>
      </c>
      <c r="O4">
        <f>SUM(B4:N4)</f>
        <v>28</v>
      </c>
    </row>
    <row r="5" spans="1:15" x14ac:dyDescent="0.25">
      <c r="A5" s="2" t="s">
        <v>3</v>
      </c>
      <c r="B5" s="3">
        <v>4</v>
      </c>
      <c r="C5" s="3">
        <v>2</v>
      </c>
      <c r="O5">
        <f t="shared" ref="O5:O26" si="0">SUM(B5:N5)</f>
        <v>6</v>
      </c>
    </row>
    <row r="6" spans="1:15" x14ac:dyDescent="0.25">
      <c r="A6" s="2" t="s">
        <v>4</v>
      </c>
      <c r="B6" s="3">
        <v>4</v>
      </c>
      <c r="C6" s="3">
        <v>4</v>
      </c>
      <c r="O6">
        <f t="shared" si="0"/>
        <v>8</v>
      </c>
    </row>
    <row r="7" spans="1:15" x14ac:dyDescent="0.25">
      <c r="A7" s="2" t="s">
        <v>17</v>
      </c>
      <c r="B7" s="3">
        <v>2</v>
      </c>
      <c r="C7" s="3">
        <v>2</v>
      </c>
      <c r="O7">
        <f t="shared" si="0"/>
        <v>4</v>
      </c>
    </row>
    <row r="8" spans="1:15" x14ac:dyDescent="0.25">
      <c r="A8" s="2" t="s">
        <v>18</v>
      </c>
      <c r="B8" s="3">
        <v>12</v>
      </c>
      <c r="C8" s="3">
        <v>0</v>
      </c>
      <c r="O8">
        <f t="shared" si="0"/>
        <v>12</v>
      </c>
    </row>
    <row r="9" spans="1:15" x14ac:dyDescent="0.25">
      <c r="A9" s="2" t="s">
        <v>5</v>
      </c>
      <c r="B9" s="3">
        <v>13</v>
      </c>
      <c r="C9" s="3">
        <v>6</v>
      </c>
      <c r="O9">
        <f t="shared" si="0"/>
        <v>19</v>
      </c>
    </row>
    <row r="10" spans="1:15" x14ac:dyDescent="0.25">
      <c r="A10" s="2" t="s">
        <v>6</v>
      </c>
      <c r="B10" s="3">
        <v>76</v>
      </c>
      <c r="C10" s="3">
        <v>30</v>
      </c>
      <c r="O10">
        <f t="shared" si="0"/>
        <v>106</v>
      </c>
    </row>
    <row r="11" spans="1:15" x14ac:dyDescent="0.25">
      <c r="A11" s="2" t="s">
        <v>7</v>
      </c>
      <c r="B11" s="3">
        <v>6</v>
      </c>
      <c r="C11" s="3">
        <v>6</v>
      </c>
      <c r="O11">
        <f t="shared" si="0"/>
        <v>12</v>
      </c>
    </row>
    <row r="12" spans="1:15" x14ac:dyDescent="0.25">
      <c r="A12" s="2" t="s">
        <v>8</v>
      </c>
      <c r="B12" s="3">
        <v>21</v>
      </c>
      <c r="C12" s="3">
        <v>12</v>
      </c>
      <c r="O12">
        <f t="shared" si="0"/>
        <v>33</v>
      </c>
    </row>
    <row r="13" spans="1:15" x14ac:dyDescent="0.25">
      <c r="A13" s="2" t="s">
        <v>9</v>
      </c>
      <c r="B13" s="3">
        <v>10</v>
      </c>
      <c r="C13" s="3">
        <v>0</v>
      </c>
      <c r="O13">
        <f t="shared" si="0"/>
        <v>10</v>
      </c>
    </row>
    <row r="14" spans="1:15" x14ac:dyDescent="0.25">
      <c r="A14" s="2" t="s">
        <v>10</v>
      </c>
      <c r="B14" s="3">
        <v>2</v>
      </c>
      <c r="C14" s="3">
        <v>2</v>
      </c>
      <c r="O14">
        <f t="shared" si="0"/>
        <v>4</v>
      </c>
    </row>
    <row r="15" spans="1:15" x14ac:dyDescent="0.25">
      <c r="A15" s="2" t="s">
        <v>11</v>
      </c>
      <c r="B15" s="3">
        <v>27</v>
      </c>
      <c r="C15" s="3">
        <v>27</v>
      </c>
      <c r="O15">
        <f t="shared" si="0"/>
        <v>54</v>
      </c>
    </row>
    <row r="16" spans="1:15" x14ac:dyDescent="0.25">
      <c r="A16" s="2" t="s">
        <v>19</v>
      </c>
      <c r="B16" s="3">
        <v>2</v>
      </c>
      <c r="C16" s="3">
        <v>0</v>
      </c>
      <c r="O16">
        <f t="shared" si="0"/>
        <v>2</v>
      </c>
    </row>
    <row r="17" spans="1:15" x14ac:dyDescent="0.25">
      <c r="A17" s="2" t="s">
        <v>12</v>
      </c>
      <c r="B17" s="3">
        <v>5</v>
      </c>
      <c r="C17" s="3">
        <v>0</v>
      </c>
      <c r="O17">
        <f t="shared" si="0"/>
        <v>5</v>
      </c>
    </row>
    <row r="18" spans="1:15" x14ac:dyDescent="0.25">
      <c r="A18" s="2" t="s">
        <v>20</v>
      </c>
      <c r="B18" s="3">
        <v>12</v>
      </c>
      <c r="C18" s="3">
        <v>0</v>
      </c>
      <c r="O18">
        <f t="shared" si="0"/>
        <v>12</v>
      </c>
    </row>
    <row r="19" spans="1:15" x14ac:dyDescent="0.25">
      <c r="A19" s="2" t="s">
        <v>21</v>
      </c>
      <c r="B19" s="3">
        <v>4</v>
      </c>
      <c r="C19" s="3">
        <v>4</v>
      </c>
      <c r="O19">
        <f t="shared" si="0"/>
        <v>8</v>
      </c>
    </row>
    <row r="20" spans="1:15" x14ac:dyDescent="0.25">
      <c r="A20" s="2" t="s">
        <v>22</v>
      </c>
      <c r="B20" s="3">
        <v>8</v>
      </c>
      <c r="C20" s="3">
        <v>8</v>
      </c>
      <c r="O20">
        <f t="shared" si="0"/>
        <v>16</v>
      </c>
    </row>
    <row r="21" spans="1:15" x14ac:dyDescent="0.25">
      <c r="A21" s="2" t="s">
        <v>13</v>
      </c>
      <c r="B21" s="3">
        <v>8</v>
      </c>
      <c r="C21" s="3">
        <v>0</v>
      </c>
      <c r="O21">
        <f t="shared" si="0"/>
        <v>8</v>
      </c>
    </row>
    <row r="22" spans="1:15" x14ac:dyDescent="0.25">
      <c r="A22" s="2" t="s">
        <v>23</v>
      </c>
      <c r="B22" s="3">
        <v>8</v>
      </c>
      <c r="C22" s="3">
        <v>4</v>
      </c>
      <c r="O22">
        <f t="shared" si="0"/>
        <v>12</v>
      </c>
    </row>
    <row r="23" spans="1:15" x14ac:dyDescent="0.25">
      <c r="A23" s="2" t="s">
        <v>14</v>
      </c>
      <c r="B23" s="3">
        <v>14</v>
      </c>
      <c r="C23" s="3">
        <v>8</v>
      </c>
      <c r="O23">
        <f t="shared" si="0"/>
        <v>22</v>
      </c>
    </row>
    <row r="24" spans="1:15" x14ac:dyDescent="0.25">
      <c r="A24" s="2" t="s">
        <v>15</v>
      </c>
      <c r="B24" s="3">
        <v>6</v>
      </c>
      <c r="C24" s="3">
        <v>0</v>
      </c>
      <c r="O24">
        <f t="shared" si="0"/>
        <v>6</v>
      </c>
    </row>
    <row r="25" spans="1:15" x14ac:dyDescent="0.25">
      <c r="A25" s="2" t="s">
        <v>16</v>
      </c>
      <c r="B25" s="3">
        <v>16</v>
      </c>
      <c r="C25" s="3">
        <v>6</v>
      </c>
      <c r="O25">
        <f t="shared" si="0"/>
        <v>22</v>
      </c>
    </row>
    <row r="26" spans="1:15" x14ac:dyDescent="0.25">
      <c r="A26" s="2" t="s">
        <v>26</v>
      </c>
      <c r="B26" s="3"/>
      <c r="C26" s="3"/>
      <c r="O26">
        <f t="shared" si="0"/>
        <v>0</v>
      </c>
    </row>
    <row r="27" spans="1:15" x14ac:dyDescent="0.25">
      <c r="A27" s="2" t="s">
        <v>27</v>
      </c>
      <c r="B27" s="3">
        <v>280</v>
      </c>
      <c r="C27" s="3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EE81-0938-4CFF-9678-C706F662EFDD}">
  <dimension ref="C1:K51"/>
  <sheetViews>
    <sheetView tabSelected="1" workbookViewId="0">
      <selection activeCell="E26" sqref="E26"/>
    </sheetView>
  </sheetViews>
  <sheetFormatPr baseColWidth="10" defaultRowHeight="15" x14ac:dyDescent="0.25"/>
  <sheetData>
    <row r="1" spans="3:11" x14ac:dyDescent="0.25">
      <c r="C1" t="s">
        <v>24</v>
      </c>
      <c r="D1" t="s">
        <v>0</v>
      </c>
      <c r="E1" t="s">
        <v>1</v>
      </c>
      <c r="G1" t="s">
        <v>24</v>
      </c>
      <c r="H1" t="s">
        <v>31</v>
      </c>
      <c r="I1" t="s">
        <v>32</v>
      </c>
      <c r="J1" t="s">
        <v>33</v>
      </c>
    </row>
    <row r="2" spans="3:11" x14ac:dyDescent="0.25">
      <c r="C2" t="s">
        <v>2</v>
      </c>
      <c r="D2">
        <v>2</v>
      </c>
      <c r="E2">
        <v>0</v>
      </c>
      <c r="G2" s="2" t="s">
        <v>6</v>
      </c>
      <c r="H2" s="3">
        <v>76</v>
      </c>
      <c r="I2" s="3">
        <v>30</v>
      </c>
      <c r="J2">
        <f>SUM(H2:I2)</f>
        <v>106</v>
      </c>
      <c r="K2">
        <v>30</v>
      </c>
    </row>
    <row r="3" spans="3:11" x14ac:dyDescent="0.25">
      <c r="C3" t="s">
        <v>3</v>
      </c>
      <c r="D3">
        <v>2</v>
      </c>
      <c r="E3">
        <v>1</v>
      </c>
      <c r="G3" s="2" t="s">
        <v>11</v>
      </c>
      <c r="H3" s="3">
        <v>27</v>
      </c>
      <c r="I3" s="3">
        <v>27</v>
      </c>
      <c r="J3">
        <f>SUM(H3:I3)</f>
        <v>54</v>
      </c>
      <c r="K3">
        <v>20</v>
      </c>
    </row>
    <row r="4" spans="3:11" x14ac:dyDescent="0.25">
      <c r="C4" t="s">
        <v>4</v>
      </c>
      <c r="D4">
        <v>4</v>
      </c>
      <c r="E4">
        <v>4</v>
      </c>
      <c r="G4" s="2" t="s">
        <v>8</v>
      </c>
      <c r="H4" s="3">
        <v>21</v>
      </c>
      <c r="I4" s="3">
        <v>12</v>
      </c>
      <c r="J4">
        <f>SUM(H4:I4)</f>
        <v>33</v>
      </c>
      <c r="K4">
        <v>10</v>
      </c>
    </row>
    <row r="5" spans="3:11" x14ac:dyDescent="0.25">
      <c r="C5" t="s">
        <v>5</v>
      </c>
      <c r="D5">
        <v>11</v>
      </c>
      <c r="E5">
        <v>4</v>
      </c>
      <c r="G5" s="2" t="s">
        <v>2</v>
      </c>
      <c r="H5" s="3">
        <v>20</v>
      </c>
      <c r="I5" s="3">
        <v>8</v>
      </c>
      <c r="J5">
        <f>SUM(H5:I5)</f>
        <v>28</v>
      </c>
      <c r="K5">
        <v>10</v>
      </c>
    </row>
    <row r="6" spans="3:11" x14ac:dyDescent="0.25">
      <c r="C6" t="s">
        <v>6</v>
      </c>
      <c r="D6">
        <v>2</v>
      </c>
      <c r="E6">
        <v>2</v>
      </c>
      <c r="G6" s="2" t="s">
        <v>14</v>
      </c>
      <c r="H6" s="3">
        <v>14</v>
      </c>
      <c r="I6" s="3">
        <v>8</v>
      </c>
      <c r="J6">
        <f>SUM(H6:I6)</f>
        <v>22</v>
      </c>
      <c r="K6">
        <v>10</v>
      </c>
    </row>
    <row r="7" spans="3:11" x14ac:dyDescent="0.25">
      <c r="C7" t="s">
        <v>7</v>
      </c>
      <c r="D7">
        <v>6</v>
      </c>
      <c r="E7">
        <v>6</v>
      </c>
      <c r="G7" s="2" t="s">
        <v>16</v>
      </c>
      <c r="H7" s="3">
        <v>16</v>
      </c>
      <c r="I7" s="3">
        <v>6</v>
      </c>
      <c r="J7">
        <f>SUM(H7:I7)</f>
        <v>22</v>
      </c>
      <c r="K7">
        <v>10</v>
      </c>
    </row>
    <row r="8" spans="3:11" x14ac:dyDescent="0.25">
      <c r="C8" t="s">
        <v>8</v>
      </c>
      <c r="D8">
        <v>21</v>
      </c>
      <c r="E8">
        <v>12</v>
      </c>
      <c r="G8" s="2" t="s">
        <v>5</v>
      </c>
      <c r="H8" s="3">
        <v>13</v>
      </c>
      <c r="I8" s="3">
        <v>6</v>
      </c>
      <c r="J8">
        <f>SUM(H8:I8)</f>
        <v>19</v>
      </c>
    </row>
    <row r="9" spans="3:11" x14ac:dyDescent="0.25">
      <c r="C9" t="s">
        <v>9</v>
      </c>
      <c r="D9">
        <v>10</v>
      </c>
      <c r="E9">
        <v>0</v>
      </c>
      <c r="G9" s="2" t="s">
        <v>22</v>
      </c>
      <c r="H9" s="3">
        <v>8</v>
      </c>
      <c r="I9" s="3">
        <v>8</v>
      </c>
      <c r="J9">
        <f>SUM(H9:I9)</f>
        <v>16</v>
      </c>
    </row>
    <row r="10" spans="3:11" x14ac:dyDescent="0.25">
      <c r="C10" t="s">
        <v>10</v>
      </c>
      <c r="D10">
        <v>2</v>
      </c>
      <c r="E10">
        <v>2</v>
      </c>
      <c r="G10" s="2" t="s">
        <v>18</v>
      </c>
      <c r="H10" s="3">
        <v>12</v>
      </c>
      <c r="I10" s="3">
        <v>0</v>
      </c>
      <c r="J10">
        <f>SUM(H10:I10)</f>
        <v>12</v>
      </c>
    </row>
    <row r="11" spans="3:11" x14ac:dyDescent="0.25">
      <c r="C11" t="s">
        <v>11</v>
      </c>
      <c r="D11">
        <v>27</v>
      </c>
      <c r="E11">
        <v>27</v>
      </c>
      <c r="G11" s="2" t="s">
        <v>7</v>
      </c>
      <c r="H11" s="3">
        <v>6</v>
      </c>
      <c r="I11" s="3">
        <v>6</v>
      </c>
      <c r="J11">
        <f>SUM(H11:I11)</f>
        <v>12</v>
      </c>
    </row>
    <row r="12" spans="3:11" x14ac:dyDescent="0.25">
      <c r="C12" t="s">
        <v>12</v>
      </c>
      <c r="D12">
        <v>1</v>
      </c>
      <c r="E12">
        <v>0</v>
      </c>
      <c r="G12" s="2" t="s">
        <v>20</v>
      </c>
      <c r="H12" s="3">
        <v>12</v>
      </c>
      <c r="I12" s="3">
        <v>0</v>
      </c>
      <c r="J12">
        <f>SUM(H12:I12)</f>
        <v>12</v>
      </c>
    </row>
    <row r="13" spans="3:11" x14ac:dyDescent="0.25">
      <c r="C13" t="s">
        <v>13</v>
      </c>
      <c r="D13">
        <v>4</v>
      </c>
      <c r="E13">
        <v>0</v>
      </c>
      <c r="G13" s="2" t="s">
        <v>23</v>
      </c>
      <c r="H13" s="3">
        <v>8</v>
      </c>
      <c r="I13" s="3">
        <v>4</v>
      </c>
      <c r="J13">
        <f>SUM(H13:I13)</f>
        <v>12</v>
      </c>
    </row>
    <row r="14" spans="3:11" x14ac:dyDescent="0.25">
      <c r="C14" t="s">
        <v>14</v>
      </c>
      <c r="D14">
        <v>3</v>
      </c>
      <c r="E14">
        <v>0</v>
      </c>
      <c r="G14" s="2" t="s">
        <v>9</v>
      </c>
      <c r="H14" s="3">
        <v>10</v>
      </c>
      <c r="I14" s="3">
        <v>0</v>
      </c>
      <c r="J14">
        <f>SUM(H14:I14)</f>
        <v>10</v>
      </c>
    </row>
    <row r="15" spans="3:11" x14ac:dyDescent="0.25">
      <c r="C15" t="s">
        <v>15</v>
      </c>
      <c r="D15">
        <v>3</v>
      </c>
      <c r="E15">
        <v>0</v>
      </c>
      <c r="G15" s="2" t="s">
        <v>4</v>
      </c>
      <c r="H15" s="3">
        <v>4</v>
      </c>
      <c r="I15" s="3">
        <v>4</v>
      </c>
      <c r="J15">
        <f>SUM(H15:I15)</f>
        <v>8</v>
      </c>
    </row>
    <row r="16" spans="3:11" x14ac:dyDescent="0.25">
      <c r="C16" t="s">
        <v>16</v>
      </c>
      <c r="D16">
        <v>8</v>
      </c>
      <c r="E16">
        <v>3</v>
      </c>
      <c r="G16" s="2" t="s">
        <v>21</v>
      </c>
      <c r="H16" s="3">
        <v>4</v>
      </c>
      <c r="I16" s="3">
        <v>4</v>
      </c>
      <c r="J16">
        <f>SUM(H16:I16)</f>
        <v>8</v>
      </c>
    </row>
    <row r="17" spans="3:10" x14ac:dyDescent="0.25">
      <c r="C17" t="s">
        <v>2</v>
      </c>
      <c r="D17">
        <v>8</v>
      </c>
      <c r="E17">
        <v>4</v>
      </c>
      <c r="G17" s="2" t="s">
        <v>13</v>
      </c>
      <c r="H17" s="3">
        <v>8</v>
      </c>
      <c r="I17" s="3">
        <v>0</v>
      </c>
      <c r="J17">
        <f>SUM(H17:I17)</f>
        <v>8</v>
      </c>
    </row>
    <row r="18" spans="3:10" x14ac:dyDescent="0.25">
      <c r="C18" t="s">
        <v>17</v>
      </c>
      <c r="D18">
        <v>1</v>
      </c>
      <c r="E18">
        <v>1</v>
      </c>
      <c r="G18" s="2" t="s">
        <v>3</v>
      </c>
      <c r="H18" s="3">
        <v>4</v>
      </c>
      <c r="I18" s="3">
        <v>2</v>
      </c>
      <c r="J18">
        <f>SUM(H18:I18)</f>
        <v>6</v>
      </c>
    </row>
    <row r="19" spans="3:10" x14ac:dyDescent="0.25">
      <c r="C19" t="s">
        <v>18</v>
      </c>
      <c r="D19">
        <v>6</v>
      </c>
      <c r="E19">
        <v>0</v>
      </c>
      <c r="G19" s="2" t="s">
        <v>15</v>
      </c>
      <c r="H19" s="3">
        <v>6</v>
      </c>
      <c r="I19" s="3">
        <v>0</v>
      </c>
      <c r="J19">
        <f>SUM(H19:I19)</f>
        <v>6</v>
      </c>
    </row>
    <row r="20" spans="3:10" x14ac:dyDescent="0.25">
      <c r="C20" t="s">
        <v>5</v>
      </c>
      <c r="D20">
        <v>1</v>
      </c>
      <c r="E20">
        <v>1</v>
      </c>
      <c r="G20" s="2" t="s">
        <v>12</v>
      </c>
      <c r="H20" s="3">
        <v>5</v>
      </c>
      <c r="I20" s="3">
        <v>0</v>
      </c>
      <c r="J20">
        <f>SUM(H20:I20)</f>
        <v>5</v>
      </c>
    </row>
    <row r="21" spans="3:10" x14ac:dyDescent="0.25">
      <c r="C21" t="s">
        <v>6</v>
      </c>
      <c r="D21">
        <v>37</v>
      </c>
      <c r="E21">
        <v>14</v>
      </c>
      <c r="G21" s="2" t="s">
        <v>17</v>
      </c>
      <c r="H21" s="3">
        <v>2</v>
      </c>
      <c r="I21" s="3">
        <v>2</v>
      </c>
      <c r="J21">
        <f>SUM(H21:I21)</f>
        <v>4</v>
      </c>
    </row>
    <row r="22" spans="3:10" x14ac:dyDescent="0.25">
      <c r="C22" t="s">
        <v>19</v>
      </c>
      <c r="D22">
        <v>1</v>
      </c>
      <c r="E22">
        <v>0</v>
      </c>
      <c r="G22" s="2" t="s">
        <v>10</v>
      </c>
      <c r="H22" s="3">
        <v>2</v>
      </c>
      <c r="I22" s="3">
        <v>2</v>
      </c>
      <c r="J22">
        <f>SUM(H22:I22)</f>
        <v>4</v>
      </c>
    </row>
    <row r="23" spans="3:10" x14ac:dyDescent="0.25">
      <c r="C23" t="s">
        <v>12</v>
      </c>
      <c r="D23">
        <v>2</v>
      </c>
      <c r="E23">
        <v>0</v>
      </c>
      <c r="G23" s="2" t="s">
        <v>19</v>
      </c>
      <c r="H23" s="3">
        <v>2</v>
      </c>
      <c r="I23" s="3">
        <v>0</v>
      </c>
      <c r="J23">
        <f>SUM(H23:I23)</f>
        <v>2</v>
      </c>
    </row>
    <row r="24" spans="3:10" x14ac:dyDescent="0.25">
      <c r="C24" t="s">
        <v>20</v>
      </c>
      <c r="D24">
        <v>6</v>
      </c>
      <c r="E24">
        <v>0</v>
      </c>
      <c r="G24" s="2" t="s">
        <v>26</v>
      </c>
      <c r="H24" s="3"/>
      <c r="I24" s="3"/>
      <c r="J24">
        <f>SUM(H24:I24)</f>
        <v>0</v>
      </c>
    </row>
    <row r="25" spans="3:10" x14ac:dyDescent="0.25">
      <c r="C25" t="s">
        <v>21</v>
      </c>
      <c r="D25">
        <v>2</v>
      </c>
      <c r="E25">
        <v>2</v>
      </c>
    </row>
    <row r="26" spans="3:10" x14ac:dyDescent="0.25">
      <c r="C26" t="s">
        <v>22</v>
      </c>
      <c r="D26">
        <v>4</v>
      </c>
      <c r="E26">
        <v>4</v>
      </c>
    </row>
    <row r="27" spans="3:10" x14ac:dyDescent="0.25">
      <c r="C27" t="s">
        <v>13</v>
      </c>
      <c r="D27">
        <v>2</v>
      </c>
      <c r="E27">
        <v>0</v>
      </c>
    </row>
    <row r="28" spans="3:10" x14ac:dyDescent="0.25">
      <c r="C28" t="s">
        <v>23</v>
      </c>
      <c r="D28">
        <v>4</v>
      </c>
      <c r="E28">
        <v>2</v>
      </c>
      <c r="G28" s="4" t="s">
        <v>34</v>
      </c>
      <c r="H28" s="4" t="s">
        <v>35</v>
      </c>
    </row>
    <row r="29" spans="3:10" x14ac:dyDescent="0.25">
      <c r="C29" t="s">
        <v>14</v>
      </c>
      <c r="D29">
        <v>4</v>
      </c>
      <c r="E29">
        <v>4</v>
      </c>
      <c r="G29" s="2" t="s">
        <v>6</v>
      </c>
      <c r="H29">
        <v>30</v>
      </c>
    </row>
    <row r="30" spans="3:10" x14ac:dyDescent="0.25">
      <c r="C30" t="s">
        <v>2</v>
      </c>
      <c r="D30">
        <v>10</v>
      </c>
      <c r="E30">
        <v>4</v>
      </c>
      <c r="G30" s="2" t="s">
        <v>11</v>
      </c>
      <c r="H30">
        <v>20</v>
      </c>
    </row>
    <row r="31" spans="3:10" x14ac:dyDescent="0.25">
      <c r="C31" t="s">
        <v>3</v>
      </c>
      <c r="D31">
        <v>2</v>
      </c>
      <c r="E31">
        <v>1</v>
      </c>
      <c r="G31" s="2" t="s">
        <v>8</v>
      </c>
      <c r="H31">
        <v>10</v>
      </c>
    </row>
    <row r="32" spans="3:10" x14ac:dyDescent="0.25">
      <c r="C32" t="s">
        <v>4</v>
      </c>
      <c r="D32">
        <v>0</v>
      </c>
      <c r="E32">
        <v>0</v>
      </c>
      <c r="G32" s="2" t="s">
        <v>2</v>
      </c>
      <c r="H32">
        <v>10</v>
      </c>
    </row>
    <row r="33" spans="3:8" x14ac:dyDescent="0.25">
      <c r="C33" t="s">
        <v>17</v>
      </c>
      <c r="D33">
        <v>1</v>
      </c>
      <c r="E33">
        <v>1</v>
      </c>
      <c r="G33" s="2" t="s">
        <v>14</v>
      </c>
      <c r="H33">
        <v>10</v>
      </c>
    </row>
    <row r="34" spans="3:8" x14ac:dyDescent="0.25">
      <c r="C34" t="s">
        <v>18</v>
      </c>
      <c r="D34">
        <v>6</v>
      </c>
      <c r="E34">
        <v>0</v>
      </c>
      <c r="G34" s="2" t="s">
        <v>16</v>
      </c>
      <c r="H34">
        <v>10</v>
      </c>
    </row>
    <row r="35" spans="3:8" x14ac:dyDescent="0.25">
      <c r="C35" t="s">
        <v>5</v>
      </c>
      <c r="D35">
        <v>1</v>
      </c>
      <c r="E35">
        <v>1</v>
      </c>
    </row>
    <row r="36" spans="3:8" x14ac:dyDescent="0.25">
      <c r="C36" t="s">
        <v>6</v>
      </c>
      <c r="D36">
        <v>37</v>
      </c>
      <c r="E36">
        <v>14</v>
      </c>
    </row>
    <row r="37" spans="3:8" x14ac:dyDescent="0.25">
      <c r="C37" t="s">
        <v>7</v>
      </c>
      <c r="D37">
        <v>0</v>
      </c>
      <c r="E37">
        <v>0</v>
      </c>
    </row>
    <row r="38" spans="3:8" x14ac:dyDescent="0.25">
      <c r="C38" t="s">
        <v>8</v>
      </c>
      <c r="D38">
        <v>0</v>
      </c>
      <c r="E38">
        <v>0</v>
      </c>
    </row>
    <row r="39" spans="3:8" x14ac:dyDescent="0.25">
      <c r="C39" t="s">
        <v>9</v>
      </c>
      <c r="D39">
        <v>0</v>
      </c>
      <c r="E39">
        <v>0</v>
      </c>
    </row>
    <row r="40" spans="3:8" x14ac:dyDescent="0.25">
      <c r="C40" t="s">
        <v>10</v>
      </c>
      <c r="D40">
        <v>0</v>
      </c>
      <c r="E40">
        <v>0</v>
      </c>
    </row>
    <row r="41" spans="3:8" x14ac:dyDescent="0.25">
      <c r="C41" t="s">
        <v>11</v>
      </c>
      <c r="D41">
        <v>0</v>
      </c>
      <c r="E41">
        <v>0</v>
      </c>
    </row>
    <row r="42" spans="3:8" x14ac:dyDescent="0.25">
      <c r="C42" t="s">
        <v>19</v>
      </c>
      <c r="D42">
        <v>1</v>
      </c>
      <c r="E42">
        <v>0</v>
      </c>
    </row>
    <row r="43" spans="3:8" x14ac:dyDescent="0.25">
      <c r="C43" t="s">
        <v>12</v>
      </c>
      <c r="D43">
        <v>2</v>
      </c>
      <c r="E43">
        <v>0</v>
      </c>
    </row>
    <row r="44" spans="3:8" x14ac:dyDescent="0.25">
      <c r="C44" t="s">
        <v>20</v>
      </c>
      <c r="D44">
        <v>6</v>
      </c>
      <c r="E44">
        <v>0</v>
      </c>
    </row>
    <row r="45" spans="3:8" x14ac:dyDescent="0.25">
      <c r="C45" t="s">
        <v>21</v>
      </c>
      <c r="D45">
        <v>2</v>
      </c>
      <c r="E45">
        <v>2</v>
      </c>
    </row>
    <row r="46" spans="3:8" x14ac:dyDescent="0.25">
      <c r="C46" t="s">
        <v>22</v>
      </c>
      <c r="D46">
        <v>4</v>
      </c>
      <c r="E46">
        <v>4</v>
      </c>
    </row>
    <row r="47" spans="3:8" x14ac:dyDescent="0.25">
      <c r="C47" t="s">
        <v>13</v>
      </c>
      <c r="D47">
        <v>2</v>
      </c>
      <c r="E47">
        <v>0</v>
      </c>
    </row>
    <row r="48" spans="3:8" x14ac:dyDescent="0.25">
      <c r="C48" t="s">
        <v>23</v>
      </c>
      <c r="D48">
        <v>4</v>
      </c>
      <c r="E48">
        <v>2</v>
      </c>
    </row>
    <row r="49" spans="3:5" x14ac:dyDescent="0.25">
      <c r="C49" t="s">
        <v>14</v>
      </c>
      <c r="D49">
        <v>7</v>
      </c>
      <c r="E49">
        <v>4</v>
      </c>
    </row>
    <row r="50" spans="3:5" x14ac:dyDescent="0.25">
      <c r="C50" t="s">
        <v>15</v>
      </c>
      <c r="D50">
        <v>3</v>
      </c>
      <c r="E50">
        <v>0</v>
      </c>
    </row>
    <row r="51" spans="3:5" x14ac:dyDescent="0.25">
      <c r="C51" t="s">
        <v>16</v>
      </c>
      <c r="D51">
        <v>8</v>
      </c>
      <c r="E51">
        <v>3</v>
      </c>
    </row>
  </sheetData>
  <autoFilter ref="G1:J1" xr:uid="{5772EE81-0938-4CFF-9678-C706F662EFDD}">
    <sortState xmlns:xlrd2="http://schemas.microsoft.com/office/spreadsheetml/2017/richdata2" ref="G2:J24">
      <sortCondition descending="1" ref="J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 STM</dc:creator>
  <cp:lastModifiedBy>Gerencia STM</cp:lastModifiedBy>
  <dcterms:created xsi:type="dcterms:W3CDTF">2025-12-26T20:49:36Z</dcterms:created>
  <dcterms:modified xsi:type="dcterms:W3CDTF">2025-12-26T20:59:04Z</dcterms:modified>
</cp:coreProperties>
</file>