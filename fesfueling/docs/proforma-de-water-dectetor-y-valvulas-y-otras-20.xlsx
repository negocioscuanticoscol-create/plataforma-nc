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<sst xmlns="http://schemas.openxmlformats.org/spreadsheetml/2006/main" count="58" uniqueCount="47">
  <si>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MI ASIA INTERNATIONAL TRADE CO., LTD</t>
  </si>
  <si>
    <t>Add: No.30 Jin Long Lu, Nansha St, Nansha Dist, Guangzhou, Guangdong province, China</t>
  </si>
  <si>
    <t>Proform Invoice</t>
  </si>
  <si>
    <t>To: Fueling Equiment &amp; Suppliers SAS</t>
  </si>
  <si>
    <t>PI No.: MA20260420</t>
  </si>
  <si>
    <t>Nit: 9020255248</t>
  </si>
  <si>
    <t>Date: 2026-05-13</t>
  </si>
  <si>
    <t>ADD: Calle 110 n 8a-25, Barrio Santa Ana, Apt 204, Bogota, Colombia, Postal code: 110111</t>
  </si>
  <si>
    <t>Contact: Amalia</t>
  </si>
  <si>
    <t>Contact: JOSE VICENTE CALDERON</t>
  </si>
  <si>
    <t>Tel: 3236375088</t>
  </si>
  <si>
    <t>Item</t>
  </si>
  <si>
    <t>Product</t>
  </si>
  <si>
    <t>Image</t>
  </si>
  <si>
    <t>Specifications cm/mm</t>
  </si>
  <si>
    <t>Unit</t>
  </si>
  <si>
    <t>Quantity</t>
  </si>
  <si>
    <t>Unit price EXW USD</t>
  </si>
  <si>
    <t>Total EXW USD</t>
  </si>
  <si>
    <t>Valves</t>
  </si>
  <si>
    <t>1/4''</t>
  </si>
  <si>
    <t>pc</t>
  </si>
  <si>
    <t xml:space="preserve"> </t>
  </si>
  <si>
    <t>1/2''</t>
  </si>
  <si>
    <t>3/4''</t>
  </si>
  <si>
    <t>1''</t>
  </si>
  <si>
    <t>Dust cap</t>
  </si>
  <si>
    <t>black</t>
  </si>
  <si>
    <t>Deadman handle switch</t>
  </si>
  <si>
    <t>with 15m  cable</t>
  </si>
  <si>
    <t>Water detector</t>
  </si>
  <si>
    <t>/</t>
  </si>
  <si>
    <t>Static Grounding Clamp</t>
  </si>
  <si>
    <t>High level alarm</t>
  </si>
  <si>
    <t>Total EXW</t>
  </si>
  <si>
    <t>Commission</t>
  </si>
  <si>
    <t>Sending cost</t>
  </si>
  <si>
    <t xml:space="preserve">Total </t>
  </si>
  <si>
    <t>Notes:</t>
  </si>
  <si>
    <t>1, Payment terms:100% T/T full payment before delivery</t>
  </si>
  <si>
    <t>2, Delivery time: about 5 working days after receive the payment</t>
  </si>
  <si>
    <t>Beneficiary bank account information:</t>
  </si>
  <si>
    <t>BENEFICIARY BANK: DBS Bank (Hong Kong) Limited</t>
  </si>
  <si>
    <t>ACCOUNT NAME: MI ASIA INTERNATIONAL TRADE CO., LIMITED</t>
  </si>
  <si>
    <t xml:space="preserve">SWIFT/BIC: DHBKHKHH  ( DHBKHKHHXXX * If 11 characters are required ) </t>
  </si>
  <si>
    <t>ACCOUNT NUMBER: 79969000958571</t>
  </si>
  <si>
    <t>BENEFICIARY BANK ADD: 11th Floor, The Center, 99 Queen's Road Central, Central, 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</si>
</sst>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_ "/>
    <numFmt numFmtId="178" formatCode="&quot;US$&quot;#,##0.00;\-&quot;US$&quot;#,##0.00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indexed="58"/>
      <name val="Times New Roman"/>
      <charset val="134"/>
    </font>
    <font>
      <b/>
      <sz val="14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indexed="63"/>
      <name val="Times New Roman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6" borderId="23" applyNumberFormat="0" applyAlignment="0" applyProtection="0">
      <alignment vertical="center"/>
    </xf>
    <xf numFmtId="0" fontId="18" fillId="6" borderId="22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7" fontId="6" fillId="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178" fontId="7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9" fontId="2" fillId="0" borderId="0" xfId="3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230505</xdr:colOff>
      <xdr:row>11</xdr:row>
      <xdr:rowOff>93345</xdr:rowOff>
    </xdr:from>
    <xdr:to>
      <xdr:col>2</xdr:col>
      <xdr:colOff>702310</xdr:colOff>
      <xdr:row>14</xdr:row>
      <xdr:rowOff>62230</xdr:rowOff>
    </xdr:to>
    <xdr:pic>
      <xdr:nvPicPr>
        <xdr:cNvPr id="2" name="图片 1" descr="valvul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67840" y="3300095"/>
          <a:ext cx="471805" cy="654685"/>
        </a:xfrm>
        <a:prstGeom prst="rect">
          <a:avLst/>
        </a:prstGeom>
      </xdr:spPr>
    </xdr:pic>
    <xdr:clientData/>
  </xdr:twoCellAnchor>
  <xdr:twoCellAnchor editAs="oneCell">
    <xdr:from>
      <xdr:col>2</xdr:col>
      <xdr:colOff>210185</xdr:colOff>
      <xdr:row>17</xdr:row>
      <xdr:rowOff>42545</xdr:rowOff>
    </xdr:from>
    <xdr:to>
      <xdr:col>2</xdr:col>
      <xdr:colOff>697865</xdr:colOff>
      <xdr:row>17</xdr:row>
      <xdr:rowOff>637540</xdr:rowOff>
    </xdr:to>
    <xdr:pic>
      <xdr:nvPicPr>
        <xdr:cNvPr id="4" name="图片 3" descr="water detector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7520" y="5509895"/>
          <a:ext cx="487680" cy="594995"/>
        </a:xfrm>
        <a:prstGeom prst="rect">
          <a:avLst/>
        </a:prstGeom>
      </xdr:spPr>
    </xdr:pic>
    <xdr:clientData/>
  </xdr:twoCellAnchor>
  <xdr:twoCellAnchor editAs="oneCell">
    <xdr:from>
      <xdr:col>2</xdr:col>
      <xdr:colOff>234950</xdr:colOff>
      <xdr:row>16</xdr:row>
      <xdr:rowOff>50800</xdr:rowOff>
    </xdr:from>
    <xdr:to>
      <xdr:col>2</xdr:col>
      <xdr:colOff>747395</xdr:colOff>
      <xdr:row>16</xdr:row>
      <xdr:rowOff>650240</xdr:rowOff>
    </xdr:to>
    <xdr:pic>
      <xdr:nvPicPr>
        <xdr:cNvPr id="5" name="图片 4" descr="deadman handle switch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2285" y="4845050"/>
          <a:ext cx="512445" cy="599440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15</xdr:row>
      <xdr:rowOff>30480</xdr:rowOff>
    </xdr:from>
    <xdr:to>
      <xdr:col>2</xdr:col>
      <xdr:colOff>808990</xdr:colOff>
      <xdr:row>15</xdr:row>
      <xdr:rowOff>588645</xdr:rowOff>
    </xdr:to>
    <xdr:pic>
      <xdr:nvPicPr>
        <xdr:cNvPr id="6" name="图片 5" descr="dust cap for hydrant pit valv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5455" y="4151630"/>
          <a:ext cx="610870" cy="558165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203200</xdr:colOff>
      <xdr:row>18</xdr:row>
      <xdr:rowOff>92075</xdr:rowOff>
    </xdr:from>
    <xdr:to>
      <xdr:col>2</xdr:col>
      <xdr:colOff>716280</xdr:colOff>
      <xdr:row>18</xdr:row>
      <xdr:rowOff>476250</xdr:rowOff>
    </xdr:to>
    <xdr:pic>
      <xdr:nvPicPr>
        <xdr:cNvPr id="7" name="图片 6" descr="IMG_20260424_2316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0535" y="6232525"/>
          <a:ext cx="513080" cy="384175"/>
        </a:xfrm>
        <a:prstGeom prst="rect">
          <a:avLst/>
        </a:prstGeom>
      </xdr:spPr>
    </xdr:pic>
    <xdr:clientData/>
  </xdr:twoCellAnchor>
  <xdr:twoCellAnchor editAs="oneCell">
    <xdr:from>
      <xdr:col>2</xdr:col>
      <xdr:colOff>297180</xdr:colOff>
      <xdr:row>19</xdr:row>
      <xdr:rowOff>40640</xdr:rowOff>
    </xdr:from>
    <xdr:to>
      <xdr:col>2</xdr:col>
      <xdr:colOff>777875</xdr:colOff>
      <xdr:row>19</xdr:row>
      <xdr:rowOff>601980</xdr:rowOff>
    </xdr:to>
    <xdr:pic>
      <xdr:nvPicPr>
        <xdr:cNvPr id="8" name="图片 7" descr="mmexport1776745560914_edit_499122364277849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34515" y="6854190"/>
          <a:ext cx="480695" cy="56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R34"/>
  <sheetViews>
    <sheetView tabSelected="1" zoomScale="140" zoomScaleNormal="140" workbookViewId="0">
      <selection activeCell="K27" sqref="K27"/>
    </sheetView>
  </sheetViews>
  <sheetFormatPr defaultColWidth="9" defaultRowHeight="13"/>
  <cols>
    <col min="1" max="1" width="6.49090909090909" style="1" customWidth="1"/>
    <col min="2" max="2" width="15.5181818181818" style="1" customWidth="1"/>
    <col min="3" max="3" width="13.8909090909091" style="1" customWidth="1"/>
    <col min="4" max="4" width="15.8454545454545" style="1" customWidth="1"/>
    <col min="5" max="5" width="9.28181818181818" style="1" customWidth="1"/>
    <col min="6" max="6" width="9.8" style="1" customWidth="1"/>
    <col min="7" max="7" width="11.7545454545455" style="1" customWidth="1"/>
    <col min="8" max="8" width="11.4909090909091" style="1" customWidth="1"/>
    <col min="9" max="16384" width="9" style="1"/>
  </cols>
  <sheetData>
    <row r="1" s="1" customFormat="1" ht="37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16" customHeight="1" spans="1:8">
      <c r="A2" s="5" t="s">
        <v>1</v>
      </c>
      <c r="B2" s="5"/>
      <c r="C2" s="6"/>
      <c r="D2" s="5"/>
      <c r="E2" s="5"/>
      <c r="F2" s="5"/>
      <c r="G2" s="5"/>
      <c r="H2" s="5"/>
    </row>
    <row r="3" s="1" customFormat="1" ht="20" customHeight="1" spans="1:249">
      <c r="A3" s="5"/>
      <c r="B3" s="5"/>
      <c r="C3" s="6"/>
      <c r="D3" s="5"/>
      <c r="E3" s="5"/>
      <c r="F3" s="5"/>
      <c r="G3" s="5"/>
      <c r="H3" s="5"/>
      <c r="I3" s="2"/>
      <c r="J3" s="2"/>
      <c r="K3" s="2"/>
      <c r="L3" s="2"/>
      <c r="M3" s="4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</row>
    <row r="4" s="1" customFormat="1" ht="20" customHeight="1" spans="1:249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4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</row>
    <row r="5" s="1" customFormat="1" ht="17" customHeight="1" spans="1:249">
      <c r="A5" s="7" t="s">
        <v>3</v>
      </c>
      <c r="B5" s="2"/>
      <c r="C5" s="8"/>
      <c r="D5" s="8"/>
      <c r="E5" s="9" t="s">
        <v>4</v>
      </c>
      <c r="F5" s="10"/>
      <c r="G5" s="10"/>
      <c r="H5" s="9"/>
      <c r="I5" s="2"/>
      <c r="J5" s="2"/>
      <c r="K5" s="2"/>
      <c r="L5" s="2"/>
      <c r="M5" s="4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</row>
    <row r="6" s="1" customFormat="1" ht="17" customHeight="1" spans="1:249">
      <c r="A6" s="7" t="s">
        <v>5</v>
      </c>
      <c r="B6" s="7"/>
      <c r="C6" s="11"/>
      <c r="D6" s="11"/>
      <c r="E6" s="12" t="s">
        <v>6</v>
      </c>
      <c r="F6" s="13"/>
      <c r="G6" s="13"/>
      <c r="H6" s="12"/>
      <c r="I6" s="2"/>
      <c r="J6" s="2"/>
      <c r="K6" s="2"/>
      <c r="L6" s="2"/>
      <c r="M6" s="4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</row>
    <row r="7" s="1" customFormat="1" ht="31" customHeight="1" spans="1:249">
      <c r="A7" s="14" t="s">
        <v>7</v>
      </c>
      <c r="B7" s="14"/>
      <c r="C7" s="14"/>
      <c r="D7" s="14"/>
      <c r="E7" s="15" t="s">
        <v>8</v>
      </c>
      <c r="F7" s="15"/>
      <c r="G7" s="15"/>
      <c r="H7" s="15"/>
      <c r="I7" s="2"/>
      <c r="J7" s="2"/>
      <c r="K7" s="2"/>
      <c r="L7" s="2"/>
      <c r="M7" s="4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</row>
    <row r="8" s="1" customFormat="1" ht="17" customHeight="1" spans="1:249">
      <c r="A8" s="7" t="s">
        <v>9</v>
      </c>
      <c r="B8" s="7"/>
      <c r="C8" s="11"/>
      <c r="D8" s="11"/>
      <c r="E8" s="8"/>
      <c r="F8" s="8"/>
      <c r="G8" s="8"/>
      <c r="H8" s="8"/>
      <c r="I8" s="2"/>
      <c r="J8" s="2"/>
      <c r="K8" s="2"/>
      <c r="L8" s="2"/>
      <c r="M8" s="4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</row>
    <row r="9" s="1" customFormat="1" ht="17" customHeight="1" spans="1:249">
      <c r="A9" s="7" t="s">
        <v>10</v>
      </c>
      <c r="B9" s="7"/>
      <c r="C9" s="11"/>
      <c r="D9" s="11"/>
      <c r="E9" s="8"/>
      <c r="F9" s="8"/>
      <c r="G9" s="8"/>
      <c r="H9" s="8"/>
      <c r="I9" s="2"/>
      <c r="J9" s="2"/>
      <c r="K9" s="2"/>
      <c r="L9" s="2"/>
      <c r="M9" s="4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</row>
    <row r="10" s="1" customFormat="1" ht="20" customHeight="1" spans="1:249">
      <c r="A10" s="16"/>
      <c r="B10" s="16"/>
      <c r="C10" s="16"/>
      <c r="D10" s="16"/>
      <c r="E10" s="16"/>
      <c r="F10" s="16"/>
      <c r="G10" s="16"/>
      <c r="H10" s="16"/>
      <c r="I10" s="2"/>
      <c r="J10" s="2"/>
      <c r="K10" s="2"/>
      <c r="L10" s="2"/>
      <c r="M10" s="4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</row>
    <row r="11" s="1" customFormat="1" ht="40" customHeight="1" spans="1:249">
      <c r="A11" s="17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8" t="s">
        <v>17</v>
      </c>
      <c r="H11" s="19" t="s">
        <v>18</v>
      </c>
      <c r="I11" s="2"/>
      <c r="J11" s="2"/>
      <c r="K11" s="2"/>
      <c r="L11" s="2"/>
      <c r="M11" s="4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</row>
    <row r="12" s="1" customFormat="1" ht="18" customHeight="1" spans="1:249">
      <c r="A12" s="20">
        <v>1</v>
      </c>
      <c r="B12" s="21" t="s">
        <v>19</v>
      </c>
      <c r="C12" s="21"/>
      <c r="D12" s="21" t="s">
        <v>20</v>
      </c>
      <c r="E12" s="21" t="s">
        <v>21</v>
      </c>
      <c r="F12" s="21">
        <v>6</v>
      </c>
      <c r="G12" s="22">
        <v>27</v>
      </c>
      <c r="H12" s="23">
        <f>F12*G12</f>
        <v>162</v>
      </c>
      <c r="I12" s="2" t="s">
        <v>22</v>
      </c>
      <c r="J12" s="2"/>
      <c r="K12" s="2"/>
      <c r="L12" s="2"/>
      <c r="M12" s="4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</row>
    <row r="13" s="1" customFormat="1" ht="18" customHeight="1" spans="1:249">
      <c r="A13" s="20"/>
      <c r="B13" s="21"/>
      <c r="C13" s="21"/>
      <c r="D13" s="21" t="s">
        <v>23</v>
      </c>
      <c r="E13" s="21" t="s">
        <v>21</v>
      </c>
      <c r="F13" s="21">
        <v>6</v>
      </c>
      <c r="G13" s="22">
        <v>23.5</v>
      </c>
      <c r="H13" s="23">
        <f t="shared" ref="H13:H20" si="0">F13*G13</f>
        <v>141</v>
      </c>
      <c r="I13" s="2"/>
      <c r="J13" s="2"/>
      <c r="K13" s="2"/>
      <c r="L13" s="2"/>
      <c r="M13" s="4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</row>
    <row r="14" s="1" customFormat="1" ht="18" customHeight="1" spans="1:249">
      <c r="A14" s="20"/>
      <c r="B14" s="21"/>
      <c r="C14" s="21"/>
      <c r="D14" s="21" t="s">
        <v>24</v>
      </c>
      <c r="E14" s="21" t="s">
        <v>21</v>
      </c>
      <c r="F14" s="21">
        <v>31</v>
      </c>
      <c r="G14" s="22">
        <v>28.7</v>
      </c>
      <c r="H14" s="23">
        <f t="shared" si="0"/>
        <v>889.7</v>
      </c>
      <c r="I14" s="2"/>
      <c r="J14" s="2"/>
      <c r="K14" s="2"/>
      <c r="L14" s="2"/>
      <c r="M14" s="4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</row>
    <row r="15" s="1" customFormat="1" ht="18" customHeight="1" spans="1:249">
      <c r="A15" s="20"/>
      <c r="B15" s="21"/>
      <c r="C15" s="21"/>
      <c r="D15" s="21" t="s">
        <v>25</v>
      </c>
      <c r="E15" s="21" t="s">
        <v>21</v>
      </c>
      <c r="F15" s="21">
        <v>57</v>
      </c>
      <c r="G15" s="22">
        <v>37.5</v>
      </c>
      <c r="H15" s="23">
        <f t="shared" si="0"/>
        <v>2137.5</v>
      </c>
      <c r="I15" s="2"/>
      <c r="J15" s="2"/>
      <c r="K15" s="2"/>
      <c r="L15" s="2"/>
      <c r="M15" s="4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</row>
    <row r="16" s="1" customFormat="1" ht="53" customHeight="1" spans="1:249">
      <c r="A16" s="20">
        <v>2</v>
      </c>
      <c r="B16" s="21" t="s">
        <v>26</v>
      </c>
      <c r="C16" s="24"/>
      <c r="D16" s="21" t="s">
        <v>27</v>
      </c>
      <c r="E16" s="21" t="s">
        <v>21</v>
      </c>
      <c r="F16" s="21">
        <v>3</v>
      </c>
      <c r="G16" s="22">
        <v>18</v>
      </c>
      <c r="H16" s="23">
        <f t="shared" si="0"/>
        <v>54</v>
      </c>
      <c r="I16" s="2"/>
      <c r="J16" s="2"/>
      <c r="K16" s="2"/>
      <c r="L16" s="2"/>
      <c r="M16" s="4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</row>
    <row r="17" s="1" customFormat="1" ht="53" customHeight="1" spans="1:249">
      <c r="A17" s="20">
        <v>3</v>
      </c>
      <c r="B17" s="21" t="s">
        <v>28</v>
      </c>
      <c r="C17" s="24"/>
      <c r="D17" s="21" t="s">
        <v>29</v>
      </c>
      <c r="E17" s="21" t="s">
        <v>21</v>
      </c>
      <c r="F17" s="21">
        <v>1</v>
      </c>
      <c r="G17" s="22">
        <v>160</v>
      </c>
      <c r="H17" s="23">
        <f t="shared" si="0"/>
        <v>160</v>
      </c>
      <c r="I17" s="2"/>
      <c r="J17" s="2"/>
      <c r="K17" s="2"/>
      <c r="L17" s="2"/>
      <c r="M17" s="4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</row>
    <row r="18" s="1" customFormat="1" ht="53" customHeight="1" spans="1:249">
      <c r="A18" s="20">
        <v>4</v>
      </c>
      <c r="B18" s="21" t="s">
        <v>30</v>
      </c>
      <c r="C18" s="24"/>
      <c r="D18" s="21" t="s">
        <v>31</v>
      </c>
      <c r="E18" s="21" t="s">
        <v>21</v>
      </c>
      <c r="F18" s="21">
        <v>100</v>
      </c>
      <c r="G18" s="22">
        <v>36.25</v>
      </c>
      <c r="H18" s="23">
        <f t="shared" si="0"/>
        <v>3625</v>
      </c>
      <c r="I18" s="2"/>
      <c r="J18" s="2"/>
      <c r="K18" s="2"/>
      <c r="L18" s="2"/>
      <c r="M18" s="4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</row>
    <row r="19" s="1" customFormat="1" ht="53" customHeight="1" spans="1:249">
      <c r="A19" s="20">
        <v>5</v>
      </c>
      <c r="B19" s="21" t="s">
        <v>32</v>
      </c>
      <c r="C19" s="24"/>
      <c r="D19" s="21" t="s">
        <v>31</v>
      </c>
      <c r="E19" s="21" t="s">
        <v>21</v>
      </c>
      <c r="F19" s="25">
        <v>2</v>
      </c>
      <c r="G19" s="26">
        <v>19.4</v>
      </c>
      <c r="H19" s="23">
        <f t="shared" si="0"/>
        <v>38.8</v>
      </c>
      <c r="I19" s="2"/>
      <c r="J19" s="2"/>
      <c r="K19" s="2"/>
      <c r="L19" s="2"/>
      <c r="M19" s="4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</row>
    <row r="20" s="1" customFormat="1" ht="53" customHeight="1" spans="1:249">
      <c r="A20" s="27">
        <v>6</v>
      </c>
      <c r="B20" s="28" t="s">
        <v>33</v>
      </c>
      <c r="C20" s="29"/>
      <c r="D20" s="28" t="s">
        <v>31</v>
      </c>
      <c r="E20" s="28" t="s">
        <v>21</v>
      </c>
      <c r="F20" s="30">
        <v>1</v>
      </c>
      <c r="G20" s="31">
        <v>220.3</v>
      </c>
      <c r="H20" s="32">
        <f t="shared" si="0"/>
        <v>220.3</v>
      </c>
      <c r="I20" s="2"/>
      <c r="J20" s="2"/>
      <c r="K20" s="2"/>
      <c r="L20" s="2"/>
      <c r="M20" s="4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</row>
    <row r="21" s="1" customFormat="1" ht="18" customHeight="1" spans="1:249">
      <c r="A21" s="16"/>
      <c r="B21" s="33"/>
      <c r="C21" s="33"/>
      <c r="D21" s="16"/>
      <c r="E21" s="16"/>
      <c r="G21" s="34" t="s">
        <v>34</v>
      </c>
      <c r="H21" s="35">
        <f>SUM(H12:H20)</f>
        <v>7428.3</v>
      </c>
      <c r="I21" s="2"/>
      <c r="J21" s="2"/>
      <c r="K21" s="2"/>
      <c r="L21" s="2"/>
      <c r="M21" s="4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</row>
    <row r="22" s="1" customFormat="1" ht="18" customHeight="1" spans="1:249">
      <c r="A22" s="16"/>
      <c r="B22" s="33"/>
      <c r="C22" s="33"/>
      <c r="D22" s="16"/>
      <c r="E22" s="16"/>
      <c r="F22" s="16"/>
      <c r="G22" s="35" t="s">
        <v>35</v>
      </c>
      <c r="H22" s="35">
        <f>H21*10%</f>
        <v>742.83</v>
      </c>
      <c r="I22" s="2"/>
      <c r="J22" s="2"/>
      <c r="K22" s="2"/>
      <c r="L22" s="2"/>
      <c r="M22" s="4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</row>
    <row r="23" s="1" customFormat="1" ht="18" customHeight="1" spans="1:249">
      <c r="A23" s="16"/>
      <c r="B23" s="16"/>
      <c r="C23" s="16"/>
      <c r="D23" s="16"/>
      <c r="E23" s="16"/>
      <c r="F23" s="16"/>
      <c r="G23" s="35" t="s">
        <v>36</v>
      </c>
      <c r="H23" s="35">
        <v>1794</v>
      </c>
      <c r="I23" s="2"/>
      <c r="J23" s="2"/>
      <c r="K23" s="2"/>
      <c r="L23" s="2"/>
      <c r="M23" s="4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</row>
    <row r="24" s="1" customFormat="1" ht="18" customHeight="1" spans="1:249">
      <c r="A24" s="16"/>
      <c r="B24" s="16"/>
      <c r="C24" s="16"/>
      <c r="D24" s="16"/>
      <c r="E24" s="16"/>
      <c r="F24" s="16"/>
      <c r="G24" s="35" t="s">
        <v>37</v>
      </c>
      <c r="H24" s="35">
        <f>H21+H22+H23</f>
        <v>9965.13</v>
      </c>
      <c r="I24" s="2"/>
      <c r="J24" s="2"/>
      <c r="K24" s="2"/>
      <c r="L24" s="2"/>
      <c r="M24" s="4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</row>
    <row r="25" s="1" customFormat="1" ht="23.25" customHeight="1" spans="1:8">
      <c r="A25" s="36" t="s">
        <v>38</v>
      </c>
      <c r="H25" s="1" t="s">
        <v>22</v>
      </c>
    </row>
    <row r="26" s="1" customFormat="1" ht="16" customHeight="1" spans="1:252">
      <c r="A26" s="14" t="s">
        <v>39</v>
      </c>
      <c r="B26" s="14"/>
      <c r="C26" s="7"/>
      <c r="D26" s="7"/>
      <c r="E26" s="7"/>
      <c r="F26" s="7"/>
      <c r="G26" s="7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</row>
    <row r="27" s="2" customFormat="1" spans="1:8">
      <c r="A27" s="7" t="s">
        <v>40</v>
      </c>
      <c r="B27" s="7"/>
      <c r="C27" s="7"/>
      <c r="D27" s="7"/>
      <c r="E27" s="7"/>
      <c r="F27" s="7"/>
      <c r="G27" s="7"/>
      <c r="H27" s="7"/>
    </row>
    <row r="28" s="2" customFormat="1" ht="13.75" spans="1:8">
      <c r="A28" s="7"/>
      <c r="B28" s="7"/>
      <c r="C28" s="7"/>
      <c r="D28" s="7"/>
      <c r="E28" s="7"/>
      <c r="F28" s="7"/>
      <c r="G28" s="7"/>
      <c r="H28" s="7"/>
    </row>
    <row r="29" s="3" customFormat="1" spans="1:8">
      <c r="A29" s="37" t="s">
        <v>41</v>
      </c>
      <c r="B29" s="38"/>
      <c r="C29" s="38"/>
      <c r="D29" s="38"/>
      <c r="E29" s="38"/>
      <c r="F29" s="38"/>
      <c r="G29" s="38"/>
      <c r="H29" s="39"/>
    </row>
    <row r="30" s="3" customFormat="1" spans="1:8">
      <c r="A30" s="40" t="s">
        <v>42</v>
      </c>
      <c r="B30" s="41"/>
      <c r="C30" s="41"/>
      <c r="D30" s="41"/>
      <c r="E30" s="41"/>
      <c r="F30" s="41"/>
      <c r="G30" s="41"/>
      <c r="H30" s="42"/>
    </row>
    <row r="31" s="3" customFormat="1" spans="1:8">
      <c r="A31" s="40" t="s">
        <v>43</v>
      </c>
      <c r="B31" s="41"/>
      <c r="C31" s="41"/>
      <c r="D31" s="41"/>
      <c r="E31" s="41"/>
      <c r="F31" s="41"/>
      <c r="G31" s="41"/>
      <c r="H31" s="42"/>
    </row>
    <row r="32" s="3" customFormat="1" spans="1:8">
      <c r="A32" s="40" t="s">
        <v>44</v>
      </c>
      <c r="B32" s="41"/>
      <c r="C32" s="41"/>
      <c r="D32" s="41"/>
      <c r="E32" s="41"/>
      <c r="F32" s="41"/>
      <c r="G32" s="41"/>
      <c r="H32" s="42"/>
    </row>
    <row r="33" s="3" customFormat="1" spans="1:8">
      <c r="A33" s="40" t="s">
        <v>45</v>
      </c>
      <c r="B33" s="41"/>
      <c r="C33" s="41"/>
      <c r="D33" s="41"/>
      <c r="E33" s="41"/>
      <c r="F33" s="41"/>
      <c r="G33" s="41"/>
      <c r="H33" s="42"/>
    </row>
    <row r="34" s="3" customFormat="1" ht="13.75" spans="1:8">
      <c r="A34" s="43" t="s">
        <v>46</v>
      </c>
      <c r="B34" s="44"/>
      <c r="C34" s="44"/>
      <c r="D34" s="44"/>
      <c r="E34" s="44"/>
      <c r="F34" s="44"/>
      <c r="G34" s="44"/>
      <c r="H34" s="45"/>
    </row>
  </sheetData>
  <mergeCells count="15">
    <mergeCell ref="A1:H1"/>
    <mergeCell ref="A2:H2"/>
    <mergeCell ref="A4:H4"/>
    <mergeCell ref="E5:H5"/>
    <mergeCell ref="A6:D6"/>
    <mergeCell ref="E6:H6"/>
    <mergeCell ref="A7:D7"/>
    <mergeCell ref="E7:H7"/>
    <mergeCell ref="A8:D8"/>
    <mergeCell ref="A26:H26"/>
    <mergeCell ref="A27:H27"/>
    <mergeCell ref="A34:H34"/>
    <mergeCell ref="A12:A15"/>
    <mergeCell ref="B12:B15"/>
    <mergeCell ref="C12:C15"/>
  </mergeCells>
  <printOptions horizontalCentered="1"/>
  <pageMargins left="0.156944444444444" right="0.0784722222222222" top="0.156944444444444" bottom="0.0784722222222222" header="0.3" footer="0.156944444444444"/>
  <pageSetup paperSize="9" fitToWidth="4" fitToHeight="4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Amalia</cp:lastModifiedBy>
  <dcterms:created xsi:type="dcterms:W3CDTF">2019-09-23T08:32:00Z</dcterms:created>
  <cp:lastPrinted>2019-09-26T01:13:00Z</cp:lastPrinted>
  <dcterms:modified xsi:type="dcterms:W3CDTF">2026-05-13T10:53:12Z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2FADC56839C041D18D241045C7E4D73C_13</vt:lpwstr>
  </property>
</Properties>
</file>