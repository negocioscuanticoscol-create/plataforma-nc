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autoCompressPictures="0" defaultThemeVersion="124226"/>
  <xr:revisionPtr revIDLastSave="0" documentId="8_{7AAC171B-25F5-4D50-AD39-874FD3FB1080}" xr6:coauthVersionLast="47" xr6:coauthVersionMax="47" xr10:uidLastSave="{00000000-0000-0000-0000-000000000000}"/>
  <bookViews>
    <workbookView xWindow="19080" yWindow="-120" windowWidth="29040" windowHeight="15840" tabRatio="875" activeTab="2" xr2:uid="{00000000-000D-0000-FFFF-FFFF00000000}"/>
  </bookViews>
  <sheets>
    <sheet name=" Elementos Refuellers" sheetId="10" r:id="rId1"/>
    <sheet name=" Elementos Plantas" sheetId="12" r:id="rId2"/>
    <sheet name="RES R+P" sheetId="15" r:id="rId3"/>
    <sheet name="Costos" sheetId="14" r:id="rId4"/>
    <sheet name="Tabla dinamica" sheetId="16" r:id="rId5"/>
    <sheet name="TOTAL ELEMENTOS Y SIMILARIDAD" sheetId="13" r:id="rId6"/>
    <sheet name="Carcasas Refuellers " sheetId="5" r:id="rId7"/>
    <sheet name="PTA" sheetId="6" r:id="rId8"/>
  </sheets>
  <definedNames>
    <definedName name="_xlnm.Print_Area" localSheetId="1">' Elementos Plantas'!$A$1:$R$42</definedName>
    <definedName name="_xlnm.Print_Area" localSheetId="0">' Elementos Refuellers'!$A$1:$V$36</definedName>
    <definedName name="_xlnm.Print_Area" localSheetId="2">'RES R+P'!$A$1:$M$83</definedName>
    <definedName name="SegmentaciónDeDatos_COD">#N/A</definedName>
    <definedName name="SegmentaciónDeDatos_ESTADO">#N/A</definedName>
  </definedNames>
  <calcPr calcId="191028"/>
  <pivotCaches>
    <pivotCache cacheId="6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4" i="15" l="1"/>
  <c r="H53" i="15"/>
  <c r="H30" i="15"/>
  <c r="H31" i="15"/>
  <c r="K54" i="15"/>
  <c r="K31" i="15"/>
  <c r="C14" i="15"/>
  <c r="H61" i="15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A61" i="15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R6" i="12"/>
  <c r="K43" i="15" s="1"/>
  <c r="L43" i="15" s="1"/>
  <c r="R7" i="12"/>
  <c r="R8" i="12"/>
  <c r="R9" i="12"/>
  <c r="R10" i="12"/>
  <c r="R11" i="12"/>
  <c r="K42" i="15" s="1"/>
  <c r="L42" i="15" s="1"/>
  <c r="R12" i="12"/>
  <c r="R13" i="12"/>
  <c r="K46" i="15" s="1"/>
  <c r="L46" i="15" s="1"/>
  <c r="R14" i="12"/>
  <c r="K39" i="15" s="1"/>
  <c r="L39" i="15" s="1"/>
  <c r="R15" i="12"/>
  <c r="K49" i="15" s="1"/>
  <c r="L49" i="15" s="1"/>
  <c r="R16" i="12"/>
  <c r="R17" i="12"/>
  <c r="R18" i="12"/>
  <c r="R19" i="12"/>
  <c r="R20" i="12"/>
  <c r="R21" i="12"/>
  <c r="R22" i="12"/>
  <c r="R23" i="12"/>
  <c r="K47" i="15" s="1"/>
  <c r="L47" i="15" s="1"/>
  <c r="R24" i="12"/>
  <c r="K44" i="15" s="1"/>
  <c r="L44" i="15" s="1"/>
  <c r="R25" i="12"/>
  <c r="R26" i="12"/>
  <c r="R27" i="12"/>
  <c r="R28" i="12"/>
  <c r="R29" i="12"/>
  <c r="R30" i="12"/>
  <c r="K37" i="15" s="1"/>
  <c r="L37" i="15" s="1"/>
  <c r="R31" i="12"/>
  <c r="R32" i="12"/>
  <c r="R33" i="12"/>
  <c r="R34" i="12"/>
  <c r="R35" i="12"/>
  <c r="R36" i="12"/>
  <c r="K51" i="15" s="1"/>
  <c r="L51" i="15" s="1"/>
  <c r="R37" i="12"/>
  <c r="R38" i="12"/>
  <c r="K38" i="15" s="1"/>
  <c r="L38" i="15" s="1"/>
  <c r="R39" i="12"/>
  <c r="R40" i="12"/>
  <c r="R41" i="12"/>
  <c r="K40" i="15" s="1"/>
  <c r="L40" i="15" s="1"/>
  <c r="R42" i="12"/>
  <c r="Q6" i="12"/>
  <c r="Q7" i="12"/>
  <c r="Q8" i="12"/>
  <c r="Q9" i="12"/>
  <c r="Q10" i="12"/>
  <c r="Q11" i="12"/>
  <c r="Q12" i="12"/>
  <c r="D38" i="15" s="1"/>
  <c r="E38" i="15" s="1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D44" i="15" s="1"/>
  <c r="E44" i="15" s="1"/>
  <c r="Q26" i="12"/>
  <c r="Q27" i="12"/>
  <c r="Q28" i="12"/>
  <c r="D42" i="15" s="1"/>
  <c r="E42" i="15" s="1"/>
  <c r="Q29" i="12"/>
  <c r="D43" i="15" s="1"/>
  <c r="E43" i="15" s="1"/>
  <c r="Q30" i="12"/>
  <c r="Q31" i="12"/>
  <c r="D45" i="15" s="1"/>
  <c r="E45" i="15" s="1"/>
  <c r="Q32" i="12"/>
  <c r="Q33" i="12"/>
  <c r="D40" i="15" s="1"/>
  <c r="E40" i="15" s="1"/>
  <c r="Q34" i="12"/>
  <c r="Q35" i="12"/>
  <c r="Q36" i="12"/>
  <c r="Q37" i="12"/>
  <c r="Q38" i="12"/>
  <c r="Q39" i="12"/>
  <c r="Q40" i="12"/>
  <c r="Q41" i="12"/>
  <c r="D47" i="15" s="1"/>
  <c r="E47" i="15" s="1"/>
  <c r="Q42" i="12"/>
  <c r="U6" i="10"/>
  <c r="J37" i="15"/>
  <c r="J38" i="15"/>
  <c r="J39" i="15"/>
  <c r="J40" i="15"/>
  <c r="J41" i="15"/>
  <c r="J42" i="15"/>
  <c r="J43" i="15"/>
  <c r="J74" i="15" s="1"/>
  <c r="J44" i="15"/>
  <c r="J75" i="15" s="1"/>
  <c r="J45" i="15"/>
  <c r="J76" i="15" s="1"/>
  <c r="J46" i="15"/>
  <c r="J77" i="15" s="1"/>
  <c r="J47" i="15"/>
  <c r="J78" i="15" s="1"/>
  <c r="J48" i="15"/>
  <c r="J49" i="15"/>
  <c r="J81" i="15" s="1"/>
  <c r="J50" i="15"/>
  <c r="J51" i="15"/>
  <c r="J83" i="15" s="1"/>
  <c r="C37" i="15"/>
  <c r="C38" i="15"/>
  <c r="C63" i="15" s="1"/>
  <c r="C39" i="15"/>
  <c r="C64" i="15" s="1"/>
  <c r="C40" i="15"/>
  <c r="C41" i="15"/>
  <c r="C42" i="15"/>
  <c r="C72" i="15" s="1"/>
  <c r="C43" i="15"/>
  <c r="C44" i="15"/>
  <c r="C74" i="15" s="1"/>
  <c r="C45" i="15"/>
  <c r="C75" i="15" s="1"/>
  <c r="C46" i="15"/>
  <c r="C76" i="15" s="1"/>
  <c r="C47" i="15"/>
  <c r="C48" i="15"/>
  <c r="C78" i="15" s="1"/>
  <c r="C49" i="15"/>
  <c r="J14" i="15"/>
  <c r="J15" i="15"/>
  <c r="J61" i="15" s="1"/>
  <c r="J16" i="15"/>
  <c r="J62" i="15" s="1"/>
  <c r="J17" i="15"/>
  <c r="J63" i="15" s="1"/>
  <c r="J18" i="15"/>
  <c r="J19" i="15"/>
  <c r="J68" i="15" s="1"/>
  <c r="J20" i="15"/>
  <c r="J21" i="15"/>
  <c r="J22" i="15"/>
  <c r="J23" i="15"/>
  <c r="J80" i="15" s="1"/>
  <c r="J24" i="15"/>
  <c r="C21" i="15"/>
  <c r="C69" i="15" s="1"/>
  <c r="C15" i="15"/>
  <c r="C61" i="15" s="1"/>
  <c r="C16" i="15"/>
  <c r="C62" i="15" s="1"/>
  <c r="C17" i="15"/>
  <c r="C18" i="15"/>
  <c r="C19" i="15"/>
  <c r="C67" i="15" s="1"/>
  <c r="C20" i="15"/>
  <c r="C68" i="15" s="1"/>
  <c r="C22" i="15"/>
  <c r="C70" i="15" s="1"/>
  <c r="C23" i="15"/>
  <c r="C71" i="15" s="1"/>
  <c r="C24" i="15"/>
  <c r="C25" i="15"/>
  <c r="C77" i="15" s="1"/>
  <c r="C26" i="15"/>
  <c r="C27" i="15"/>
  <c r="C80" i="15" s="1"/>
  <c r="C28" i="15"/>
  <c r="C81" i="15" s="1"/>
  <c r="H38" i="15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A38" i="15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O37" i="10"/>
  <c r="V6" i="10"/>
  <c r="V7" i="10"/>
  <c r="V8" i="10"/>
  <c r="V9" i="10"/>
  <c r="V10" i="10"/>
  <c r="V11" i="10"/>
  <c r="V12" i="10"/>
  <c r="K24" i="15" s="1"/>
  <c r="L24" i="15" s="1"/>
  <c r="V13" i="10"/>
  <c r="K23" i="15" s="1"/>
  <c r="L23" i="15" s="1"/>
  <c r="V14" i="10"/>
  <c r="V15" i="10"/>
  <c r="V16" i="10"/>
  <c r="V17" i="10"/>
  <c r="V18" i="10"/>
  <c r="K15" i="15" s="1"/>
  <c r="L15" i="15" s="1"/>
  <c r="V19" i="10"/>
  <c r="V20" i="10"/>
  <c r="V21" i="10"/>
  <c r="V22" i="10"/>
  <c r="V23" i="10"/>
  <c r="V24" i="10"/>
  <c r="K19" i="15" s="1"/>
  <c r="L19" i="15" s="1"/>
  <c r="V25" i="10"/>
  <c r="V26" i="10"/>
  <c r="V27" i="10"/>
  <c r="V28" i="10"/>
  <c r="V29" i="10"/>
  <c r="V30" i="10"/>
  <c r="V31" i="10"/>
  <c r="V32" i="10"/>
  <c r="K14" i="15" s="1"/>
  <c r="V33" i="10"/>
  <c r="V34" i="10"/>
  <c r="K20" i="15" s="1"/>
  <c r="L20" i="15" s="1"/>
  <c r="V35" i="10"/>
  <c r="K18" i="15" s="1"/>
  <c r="L18" i="15" s="1"/>
  <c r="V36" i="10"/>
  <c r="U7" i="10"/>
  <c r="U8" i="10"/>
  <c r="U9" i="10"/>
  <c r="U10" i="10"/>
  <c r="D23" i="15" s="1"/>
  <c r="E23" i="15" s="1"/>
  <c r="U11" i="10"/>
  <c r="D27" i="15" s="1"/>
  <c r="E27" i="15" s="1"/>
  <c r="U12" i="10"/>
  <c r="D18" i="15" s="1"/>
  <c r="E18" i="15" s="1"/>
  <c r="U13" i="10"/>
  <c r="U14" i="10"/>
  <c r="U15" i="10"/>
  <c r="U16" i="10"/>
  <c r="U17" i="10"/>
  <c r="U18" i="10"/>
  <c r="U19" i="10"/>
  <c r="D22" i="15" s="1"/>
  <c r="E22" i="15" s="1"/>
  <c r="U20" i="10"/>
  <c r="U21" i="10"/>
  <c r="U22" i="10"/>
  <c r="U23" i="10"/>
  <c r="U24" i="10"/>
  <c r="U25" i="10"/>
  <c r="D14" i="15" s="1"/>
  <c r="E14" i="15" s="1"/>
  <c r="U26" i="10"/>
  <c r="U27" i="10"/>
  <c r="U28" i="10"/>
  <c r="D24" i="15" s="1"/>
  <c r="E24" i="15" s="1"/>
  <c r="U29" i="10"/>
  <c r="U30" i="10"/>
  <c r="D21" i="15" s="1"/>
  <c r="E21" i="15" s="1"/>
  <c r="U31" i="10"/>
  <c r="U32" i="10"/>
  <c r="U33" i="10"/>
  <c r="U34" i="10"/>
  <c r="U35" i="10"/>
  <c r="D26" i="15" s="1"/>
  <c r="E26" i="15" s="1"/>
  <c r="U36" i="10"/>
  <c r="H15" i="15"/>
  <c r="H16" i="15" s="1"/>
  <c r="H17" i="15" s="1"/>
  <c r="H18" i="15" s="1"/>
  <c r="H19" i="15" s="1"/>
  <c r="H20" i="15" s="1"/>
  <c r="H21" i="15" s="1"/>
  <c r="H22" i="15" s="1"/>
  <c r="H23" i="15" s="1"/>
  <c r="H24" i="15" s="1"/>
  <c r="C5" i="15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F5" i="15" a="1"/>
  <c r="F5" i="15" s="1"/>
  <c r="C65" i="15" l="1"/>
  <c r="J79" i="15"/>
  <c r="C73" i="15"/>
  <c r="C66" i="15"/>
  <c r="K83" i="15"/>
  <c r="L83" i="15" s="1"/>
  <c r="M83" i="15" s="1"/>
  <c r="K81" i="15"/>
  <c r="L81" i="15" s="1"/>
  <c r="M81" i="15" s="1"/>
  <c r="J82" i="15"/>
  <c r="K77" i="15"/>
  <c r="L77" i="15" s="1"/>
  <c r="M77" i="15" s="1"/>
  <c r="K75" i="15"/>
  <c r="L75" i="15" s="1"/>
  <c r="M75" i="15" s="1"/>
  <c r="K78" i="15"/>
  <c r="L78" i="15" s="1"/>
  <c r="M78" i="15" s="1"/>
  <c r="K80" i="15"/>
  <c r="L80" i="15" s="1"/>
  <c r="M80" i="15" s="1"/>
  <c r="C60" i="15"/>
  <c r="J73" i="15"/>
  <c r="J65" i="15"/>
  <c r="J64" i="15"/>
  <c r="K74" i="15"/>
  <c r="L74" i="15" s="1"/>
  <c r="M74" i="15" s="1"/>
  <c r="C79" i="15"/>
  <c r="K69" i="15"/>
  <c r="J67" i="15"/>
  <c r="K67" i="15"/>
  <c r="J60" i="15"/>
  <c r="J71" i="15"/>
  <c r="D72" i="15"/>
  <c r="E72" i="15" s="1"/>
  <c r="F72" i="15" s="1"/>
  <c r="K60" i="15"/>
  <c r="L60" i="15" s="1"/>
  <c r="J72" i="15"/>
  <c r="J69" i="15"/>
  <c r="D75" i="15"/>
  <c r="E75" i="15" s="1"/>
  <c r="F75" i="15" s="1"/>
  <c r="D73" i="15"/>
  <c r="E73" i="15" s="1"/>
  <c r="F73" i="15" s="1"/>
  <c r="J70" i="15"/>
  <c r="J66" i="15"/>
  <c r="K66" i="15"/>
  <c r="D71" i="15"/>
  <c r="E71" i="15" s="1"/>
  <c r="F71" i="15" s="1"/>
  <c r="D70" i="15"/>
  <c r="E70" i="15" s="1"/>
  <c r="F70" i="15" s="1"/>
  <c r="K61" i="15"/>
  <c r="L61" i="15" s="1"/>
  <c r="D63" i="15"/>
  <c r="E63" i="15" s="1"/>
  <c r="F63" i="15" s="1"/>
  <c r="D80" i="15"/>
  <c r="E80" i="15" s="1"/>
  <c r="F80" i="15" s="1"/>
  <c r="D69" i="15"/>
  <c r="E69" i="15" s="1"/>
  <c r="F69" i="15" s="1"/>
  <c r="K72" i="15"/>
  <c r="K64" i="15"/>
  <c r="D74" i="15"/>
  <c r="E74" i="15" s="1"/>
  <c r="F74" i="15" s="1"/>
  <c r="K65" i="15"/>
  <c r="J12" i="15"/>
  <c r="K41" i="15"/>
  <c r="D46" i="15"/>
  <c r="K48" i="15"/>
  <c r="L48" i="15" s="1"/>
  <c r="M48" i="15" s="1"/>
  <c r="K50" i="15"/>
  <c r="L50" i="15" s="1"/>
  <c r="M50" i="15" s="1"/>
  <c r="D48" i="15"/>
  <c r="C35" i="15"/>
  <c r="J35" i="15"/>
  <c r="K45" i="15"/>
  <c r="K76" i="15" s="1"/>
  <c r="L76" i="15" s="1"/>
  <c r="M76" i="15" s="1"/>
  <c r="D49" i="15"/>
  <c r="E49" i="15" s="1"/>
  <c r="F49" i="15" s="1"/>
  <c r="D39" i="15"/>
  <c r="D37" i="15"/>
  <c r="D60" i="15" s="1"/>
  <c r="D41" i="15"/>
  <c r="E41" i="15" s="1"/>
  <c r="F41" i="15" s="1"/>
  <c r="M51" i="15"/>
  <c r="M49" i="15"/>
  <c r="D28" i="15"/>
  <c r="K17" i="15"/>
  <c r="K22" i="15"/>
  <c r="D19" i="15"/>
  <c r="K16" i="15"/>
  <c r="D15" i="15"/>
  <c r="K21" i="15"/>
  <c r="L14" i="15"/>
  <c r="D16" i="15"/>
  <c r="D17" i="15"/>
  <c r="C12" i="15"/>
  <c r="D20" i="15"/>
  <c r="D25" i="15"/>
  <c r="M38" i="15"/>
  <c r="F45" i="15"/>
  <c r="M44" i="15"/>
  <c r="F44" i="15"/>
  <c r="M43" i="15"/>
  <c r="F43" i="15"/>
  <c r="M42" i="15"/>
  <c r="F38" i="15"/>
  <c r="F21" i="15"/>
  <c r="M47" i="15"/>
  <c r="F14" i="15"/>
  <c r="M37" i="15"/>
  <c r="F42" i="15"/>
  <c r="M40" i="15"/>
  <c r="M46" i="15"/>
  <c r="F47" i="15"/>
  <c r="M39" i="15"/>
  <c r="F40" i="15"/>
  <c r="M15" i="15"/>
  <c r="M23" i="15"/>
  <c r="M24" i="15"/>
  <c r="M18" i="15"/>
  <c r="M19" i="15"/>
  <c r="M20" i="15"/>
  <c r="F18" i="15"/>
  <c r="F23" i="15"/>
  <c r="F27" i="15"/>
  <c r="F24" i="15"/>
  <c r="D1" i="10"/>
  <c r="A7" i="10"/>
  <c r="M37" i="10"/>
  <c r="K43" i="12"/>
  <c r="I43" i="12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C58" i="15"/>
  <c r="K82" i="15"/>
  <c r="L82" i="15" s="1"/>
  <c r="M82" i="15" s="1"/>
  <c r="L67" i="15"/>
  <c r="M67" i="15" s="1"/>
  <c r="L64" i="15"/>
  <c r="M64" i="15" s="1"/>
  <c r="L22" i="15"/>
  <c r="M22" i="15" s="1"/>
  <c r="K79" i="15"/>
  <c r="L79" i="15" s="1"/>
  <c r="M79" i="15" s="1"/>
  <c r="L66" i="15"/>
  <c r="M66" i="15" s="1"/>
  <c r="L69" i="15"/>
  <c r="M69" i="15" s="1"/>
  <c r="L65" i="15"/>
  <c r="M65" i="15" s="1"/>
  <c r="L72" i="15"/>
  <c r="M72" i="15" s="1"/>
  <c r="M61" i="15"/>
  <c r="E60" i="15"/>
  <c r="F60" i="15" s="1"/>
  <c r="D79" i="15"/>
  <c r="E79" i="15" s="1"/>
  <c r="F79" i="15" s="1"/>
  <c r="J58" i="15"/>
  <c r="K71" i="15"/>
  <c r="L45" i="15"/>
  <c r="M45" i="15" s="1"/>
  <c r="K68" i="15"/>
  <c r="E17" i="15"/>
  <c r="F17" i="15" s="1"/>
  <c r="D65" i="15"/>
  <c r="E65" i="15" s="1"/>
  <c r="F65" i="15" s="1"/>
  <c r="L21" i="15"/>
  <c r="M21" i="15" s="1"/>
  <c r="K73" i="15"/>
  <c r="E16" i="15"/>
  <c r="F16" i="15" s="1"/>
  <c r="D62" i="15"/>
  <c r="E62" i="15" s="1"/>
  <c r="F62" i="15" s="1"/>
  <c r="E39" i="15"/>
  <c r="F39" i="15" s="1"/>
  <c r="D64" i="15"/>
  <c r="E64" i="15" s="1"/>
  <c r="F64" i="15" s="1"/>
  <c r="E15" i="15"/>
  <c r="F15" i="15" s="1"/>
  <c r="D61" i="15"/>
  <c r="E61" i="15" s="1"/>
  <c r="F61" i="15" s="1"/>
  <c r="L16" i="15"/>
  <c r="M16" i="15" s="1"/>
  <c r="K62" i="15"/>
  <c r="L62" i="15" s="1"/>
  <c r="L41" i="15"/>
  <c r="M41" i="15" s="1"/>
  <c r="K70" i="15"/>
  <c r="E20" i="15"/>
  <c r="F20" i="15" s="1"/>
  <c r="D68" i="15"/>
  <c r="E68" i="15" s="1"/>
  <c r="F68" i="15" s="1"/>
  <c r="E46" i="15"/>
  <c r="F46" i="15" s="1"/>
  <c r="D76" i="15"/>
  <c r="E76" i="15" s="1"/>
  <c r="F76" i="15" s="1"/>
  <c r="E19" i="15"/>
  <c r="F19" i="15" s="1"/>
  <c r="D67" i="15"/>
  <c r="E67" i="15" s="1"/>
  <c r="F67" i="15" s="1"/>
  <c r="E48" i="15"/>
  <c r="F48" i="15" s="1"/>
  <c r="D78" i="15"/>
  <c r="E78" i="15" s="1"/>
  <c r="F78" i="15" s="1"/>
  <c r="D66" i="15"/>
  <c r="E66" i="15" s="1"/>
  <c r="F66" i="15" s="1"/>
  <c r="L17" i="15"/>
  <c r="M17" i="15" s="1"/>
  <c r="K63" i="15"/>
  <c r="E25" i="15"/>
  <c r="F25" i="15" s="1"/>
  <c r="D77" i="15"/>
  <c r="E77" i="15" s="1"/>
  <c r="F77" i="15" s="1"/>
  <c r="E28" i="15"/>
  <c r="F28" i="15" s="1"/>
  <c r="D81" i="15"/>
  <c r="E81" i="15" s="1"/>
  <c r="F81" i="15" s="1"/>
  <c r="K35" i="15"/>
  <c r="M60" i="15"/>
  <c r="E37" i="15"/>
  <c r="D35" i="15"/>
  <c r="M14" i="15"/>
  <c r="K12" i="15"/>
  <c r="D12" i="15"/>
  <c r="S9" i="10"/>
  <c r="R6" i="10"/>
  <c r="R9" i="10"/>
  <c r="R21" i="10"/>
  <c r="R33" i="10"/>
  <c r="R10" i="10"/>
  <c r="R22" i="10"/>
  <c r="R34" i="10"/>
  <c r="R11" i="10"/>
  <c r="R23" i="10"/>
  <c r="R35" i="10"/>
  <c r="R12" i="10"/>
  <c r="R24" i="10"/>
  <c r="R36" i="10"/>
  <c r="R13" i="10"/>
  <c r="R25" i="10"/>
  <c r="R14" i="10"/>
  <c r="R26" i="10"/>
  <c r="R15" i="10"/>
  <c r="R27" i="10"/>
  <c r="R16" i="10"/>
  <c r="R28" i="10"/>
  <c r="R17" i="10"/>
  <c r="R29" i="10"/>
  <c r="R18" i="10"/>
  <c r="R30" i="10"/>
  <c r="R7" i="10"/>
  <c r="R19" i="10"/>
  <c r="R31" i="10"/>
  <c r="R8" i="10"/>
  <c r="R20" i="10"/>
  <c r="R32" i="10"/>
  <c r="F22" i="15"/>
  <c r="F26" i="15"/>
  <c r="S11" i="10"/>
  <c r="S29" i="10"/>
  <c r="S36" i="10"/>
  <c r="S25" i="10"/>
  <c r="S28" i="10"/>
  <c r="S24" i="10"/>
  <c r="S7" i="10"/>
  <c r="S32" i="10"/>
  <c r="S35" i="10"/>
  <c r="S15" i="10"/>
  <c r="S13" i="10"/>
  <c r="S34" i="10"/>
  <c r="S20" i="10"/>
  <c r="S22" i="10"/>
  <c r="S17" i="10"/>
  <c r="S31" i="10"/>
  <c r="S21" i="10"/>
  <c r="S19" i="10"/>
  <c r="S8" i="10"/>
  <c r="S33" i="10"/>
  <c r="S27" i="10"/>
  <c r="S14" i="10"/>
  <c r="S12" i="10"/>
  <c r="S10" i="10"/>
  <c r="S30" i="10"/>
  <c r="S23" i="10"/>
  <c r="S16" i="10"/>
  <c r="S26" i="10"/>
  <c r="S6" i="10"/>
  <c r="S18" i="10"/>
  <c r="D1" i="12"/>
  <c r="N6" i="12" s="1"/>
  <c r="G4" i="13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N24" i="14"/>
  <c r="F6" i="14"/>
  <c r="C1" i="14" a="1"/>
  <c r="C1" i="14" s="1"/>
  <c r="F5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U28" i="13"/>
  <c r="S4" i="13" s="1"/>
  <c r="U29" i="13"/>
  <c r="S5" i="13" s="1"/>
  <c r="U30" i="13"/>
  <c r="S6" i="13" s="1"/>
  <c r="U38" i="13"/>
  <c r="S7" i="13" s="1"/>
  <c r="U39" i="13"/>
  <c r="S8" i="13" s="1"/>
  <c r="U40" i="13"/>
  <c r="S9" i="13" s="1"/>
  <c r="U41" i="13"/>
  <c r="S10" i="13" s="1"/>
  <c r="U42" i="13"/>
  <c r="S11" i="13" s="1"/>
  <c r="S12" i="13"/>
  <c r="U31" i="13"/>
  <c r="S13" i="13" s="1"/>
  <c r="S14" i="13"/>
  <c r="S15" i="13"/>
  <c r="S16" i="13"/>
  <c r="S17" i="13"/>
  <c r="U32" i="13"/>
  <c r="S18" i="13" s="1"/>
  <c r="U33" i="13"/>
  <c r="S19" i="13" s="1"/>
  <c r="U34" i="13"/>
  <c r="S20" i="13" s="1"/>
  <c r="U35" i="13"/>
  <c r="S21" i="13" s="1"/>
  <c r="U36" i="13"/>
  <c r="S22" i="13" s="1"/>
  <c r="U37" i="13"/>
  <c r="S23" i="13" s="1"/>
  <c r="I4" i="13"/>
  <c r="I5" i="13"/>
  <c r="I6" i="13"/>
  <c r="I7" i="13"/>
  <c r="I8" i="13"/>
  <c r="I9" i="13"/>
  <c r="I10" i="13"/>
  <c r="I11" i="13"/>
  <c r="I12" i="13"/>
  <c r="I13" i="13"/>
  <c r="N4" i="13"/>
  <c r="N5" i="13"/>
  <c r="N6" i="13"/>
  <c r="N7" i="13"/>
  <c r="N8" i="13"/>
  <c r="N9" i="13"/>
  <c r="N10" i="13"/>
  <c r="N11" i="13"/>
  <c r="N12" i="13"/>
  <c r="N13" i="13"/>
  <c r="N14" i="13"/>
  <c r="N15" i="13"/>
  <c r="G5" i="13"/>
  <c r="G6" i="13"/>
  <c r="G7" i="13"/>
  <c r="G8" i="13"/>
  <c r="G9" i="13"/>
  <c r="G10" i="13"/>
  <c r="G11" i="13"/>
  <c r="G12" i="13"/>
  <c r="G13" i="13"/>
  <c r="G14" i="13"/>
  <c r="G15" i="13"/>
  <c r="G16" i="13"/>
  <c r="L4" i="13"/>
  <c r="L5" i="13"/>
  <c r="L6" i="13"/>
  <c r="L7" i="13"/>
  <c r="L8" i="13"/>
  <c r="L9" i="13"/>
  <c r="L10" i="13"/>
  <c r="L11" i="13"/>
  <c r="L12" i="13"/>
  <c r="L13" i="13"/>
  <c r="L14" i="13"/>
  <c r="L15" i="13"/>
  <c r="U2" i="13"/>
  <c r="Q4" i="13" s="1"/>
  <c r="U15" i="13"/>
  <c r="Q5" i="13" s="1"/>
  <c r="U16" i="13"/>
  <c r="Q6" i="13" s="1"/>
  <c r="U17" i="13"/>
  <c r="Q7" i="13" s="1"/>
  <c r="U18" i="13"/>
  <c r="Q8" i="13" s="1"/>
  <c r="U19" i="13"/>
  <c r="Q9" i="13" s="1"/>
  <c r="U3" i="13"/>
  <c r="Q10" i="13" s="1"/>
  <c r="U4" i="13"/>
  <c r="Q11" i="13" s="1"/>
  <c r="U5" i="13"/>
  <c r="Q12" i="13" s="1"/>
  <c r="U6" i="13"/>
  <c r="Q13" i="13" s="1"/>
  <c r="U7" i="13"/>
  <c r="U20" i="13"/>
  <c r="U8" i="13"/>
  <c r="Q15" i="13" s="1"/>
  <c r="U9" i="13"/>
  <c r="Q16" i="13" s="1"/>
  <c r="U10" i="13"/>
  <c r="Q17" i="13" s="1"/>
  <c r="U11" i="13"/>
  <c r="Q18" i="13" s="1"/>
  <c r="U12" i="13"/>
  <c r="Q19" i="13" s="1"/>
  <c r="U21" i="13"/>
  <c r="Q20" i="13" s="1"/>
  <c r="U22" i="13"/>
  <c r="Q21" i="13" s="1"/>
  <c r="U13" i="13"/>
  <c r="U23" i="13"/>
  <c r="U24" i="13"/>
  <c r="Q23" i="13" s="1"/>
  <c r="U25" i="13"/>
  <c r="Q24" i="13" s="1"/>
  <c r="U14" i="13"/>
  <c r="U26" i="13"/>
  <c r="M12" i="15" l="1"/>
  <c r="M35" i="15"/>
  <c r="L63" i="15"/>
  <c r="M63" i="15" s="1"/>
  <c r="L70" i="15"/>
  <c r="M70" i="15" s="1"/>
  <c r="L68" i="15"/>
  <c r="M68" i="15" s="1"/>
  <c r="L71" i="15"/>
  <c r="M71" i="15" s="1"/>
  <c r="L73" i="15"/>
  <c r="M73" i="15" s="1"/>
  <c r="L35" i="15"/>
  <c r="F58" i="15"/>
  <c r="E12" i="15"/>
  <c r="D58" i="15"/>
  <c r="L12" i="15"/>
  <c r="K58" i="15"/>
  <c r="E58" i="15"/>
  <c r="K30" i="15"/>
  <c r="K7" i="15"/>
  <c r="E35" i="15"/>
  <c r="F37" i="15"/>
  <c r="F35" i="15" s="1"/>
  <c r="F12" i="15"/>
  <c r="N25" i="14"/>
  <c r="N26" i="14" s="1"/>
  <c r="F27" i="14"/>
  <c r="F28" i="14" s="1"/>
  <c r="O25" i="12"/>
  <c r="N25" i="12"/>
  <c r="N36" i="12"/>
  <c r="O30" i="12"/>
  <c r="O36" i="12"/>
  <c r="N16" i="13"/>
  <c r="L16" i="13"/>
  <c r="Q14" i="13"/>
  <c r="Q22" i="13"/>
  <c r="Q25" i="13"/>
  <c r="I14" i="13"/>
  <c r="G17" i="13"/>
  <c r="S24" i="13"/>
  <c r="L20" i="14"/>
  <c r="G24" i="14"/>
  <c r="L6" i="14"/>
  <c r="L17" i="14"/>
  <c r="D20" i="14"/>
  <c r="L24" i="14"/>
  <c r="D7" i="14"/>
  <c r="L16" i="14"/>
  <c r="O24" i="14"/>
  <c r="G7" i="14"/>
  <c r="G14" i="14"/>
  <c r="D15" i="14"/>
  <c r="O17" i="14"/>
  <c r="D22" i="14"/>
  <c r="L19" i="14"/>
  <c r="D21" i="14"/>
  <c r="O21" i="14"/>
  <c r="O9" i="14"/>
  <c r="O8" i="14"/>
  <c r="O5" i="14"/>
  <c r="D12" i="14"/>
  <c r="D14" i="14"/>
  <c r="O22" i="14"/>
  <c r="D25" i="14"/>
  <c r="O13" i="14"/>
  <c r="O20" i="14"/>
  <c r="G10" i="14"/>
  <c r="G11" i="14"/>
  <c r="L13" i="14"/>
  <c r="L21" i="14"/>
  <c r="O16" i="14"/>
  <c r="L5" i="14"/>
  <c r="G25" i="14"/>
  <c r="G5" i="14"/>
  <c r="L11" i="14"/>
  <c r="L8" i="14"/>
  <c r="O19" i="14"/>
  <c r="L23" i="14"/>
  <c r="G23" i="14"/>
  <c r="D13" i="14"/>
  <c r="G18" i="14"/>
  <c r="D23" i="14"/>
  <c r="D5" i="14"/>
  <c r="D10" i="14"/>
  <c r="L9" i="14"/>
  <c r="L15" i="14"/>
  <c r="O7" i="14"/>
  <c r="D8" i="14"/>
  <c r="G22" i="14"/>
  <c r="L18" i="14"/>
  <c r="D18" i="14"/>
  <c r="G8" i="14"/>
  <c r="L7" i="14"/>
  <c r="O23" i="14"/>
  <c r="G19" i="14"/>
  <c r="G26" i="14"/>
  <c r="D16" i="14"/>
  <c r="G17" i="14"/>
  <c r="G20" i="14"/>
  <c r="D6" i="14"/>
  <c r="L14" i="14"/>
  <c r="O14" i="14"/>
  <c r="O11" i="14"/>
  <c r="G21" i="14"/>
  <c r="G9" i="14"/>
  <c r="L12" i="14"/>
  <c r="O18" i="14"/>
  <c r="O12" i="14"/>
  <c r="L10" i="14"/>
  <c r="D26" i="14"/>
  <c r="G12" i="14"/>
  <c r="D11" i="14"/>
  <c r="D17" i="14"/>
  <c r="O15" i="14"/>
  <c r="O6" i="14"/>
  <c r="D24" i="14"/>
  <c r="G6" i="14"/>
  <c r="G13" i="14"/>
  <c r="G16" i="14"/>
  <c r="D19" i="14"/>
  <c r="L22" i="14"/>
  <c r="D9" i="14"/>
  <c r="O10" i="14"/>
  <c r="G15" i="14"/>
  <c r="N8" i="12"/>
  <c r="O21" i="12"/>
  <c r="O22" i="12"/>
  <c r="O41" i="12"/>
  <c r="N12" i="12"/>
  <c r="O32" i="12"/>
  <c r="N13" i="12"/>
  <c r="O34" i="12"/>
  <c r="O42" i="12"/>
  <c r="N28" i="12"/>
  <c r="N41" i="12"/>
  <c r="O15" i="12"/>
  <c r="N32" i="12"/>
  <c r="O23" i="12"/>
  <c r="N18" i="12"/>
  <c r="O13" i="12"/>
  <c r="O20" i="12"/>
  <c r="N29" i="12"/>
  <c r="N27" i="12"/>
  <c r="N7" i="12"/>
  <c r="O14" i="12"/>
  <c r="N11" i="12"/>
  <c r="N30" i="12"/>
  <c r="O7" i="12"/>
  <c r="O31" i="12"/>
  <c r="N21" i="12"/>
  <c r="N9" i="12"/>
  <c r="N26" i="12"/>
  <c r="N24" i="12"/>
  <c r="O28" i="12"/>
  <c r="O33" i="12"/>
  <c r="O6" i="12"/>
  <c r="N22" i="12"/>
  <c r="N23" i="12"/>
  <c r="N35" i="12"/>
  <c r="O38" i="12"/>
  <c r="O27" i="12"/>
  <c r="O24" i="12"/>
  <c r="O37" i="12"/>
  <c r="O10" i="12"/>
  <c r="N38" i="12"/>
  <c r="N37" i="12"/>
  <c r="O19" i="12"/>
  <c r="O8" i="12"/>
  <c r="N42" i="12"/>
  <c r="N19" i="12"/>
  <c r="N20" i="12"/>
  <c r="O11" i="12"/>
  <c r="N34" i="12"/>
  <c r="N31" i="12"/>
  <c r="O29" i="12"/>
  <c r="O12" i="12"/>
  <c r="O35" i="12"/>
  <c r="N33" i="12"/>
  <c r="N14" i="12"/>
  <c r="O9" i="12"/>
  <c r="N10" i="12"/>
  <c r="O18" i="12"/>
  <c r="N15" i="12"/>
  <c r="O26" i="12"/>
  <c r="M7" i="15" l="1"/>
  <c r="L7" i="15"/>
  <c r="L30" i="15"/>
  <c r="L31" i="15" s="1"/>
  <c r="M31" i="15" s="1"/>
  <c r="L58" i="15"/>
  <c r="L53" i="15" s="1"/>
  <c r="K53" i="15"/>
  <c r="M62" i="15"/>
  <c r="M58" i="15" s="1"/>
  <c r="N27" i="14"/>
  <c r="F32" i="14" s="1"/>
  <c r="F29" i="14"/>
  <c r="F31" i="14" s="1"/>
  <c r="F33" i="14" s="1"/>
  <c r="Q26" i="13"/>
  <c r="O25" i="14"/>
  <c r="G27" i="14"/>
  <c r="L54" i="15" l="1"/>
  <c r="M54" i="15" s="1"/>
  <c r="M53" i="15"/>
  <c r="G28" i="14"/>
  <c r="G29" i="14" s="1"/>
  <c r="G31" i="14" s="1"/>
  <c r="O26" i="14"/>
  <c r="O27" i="14" s="1"/>
  <c r="G32" i="14" s="1"/>
  <c r="L55" i="15" l="1"/>
  <c r="M55" i="15"/>
  <c r="G33" i="14"/>
  <c r="M30" i="15"/>
  <c r="L8" i="15" l="1"/>
  <c r="M8" i="15" l="1"/>
  <c r="M9" i="15" s="1"/>
  <c r="L9" i="15"/>
  <c r="M32" i="15"/>
  <c r="L32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<sst xmlns="http://schemas.openxmlformats.org/spreadsheetml/2006/main" count="2111" uniqueCount="476">
  <si>
    <t>ALERTA DE VIGILANCIA 120 DIAS O NENOS</t>
  </si>
  <si>
    <t>VEHICULOS REFUELLERS</t>
  </si>
  <si>
    <t>CANTIDAD DE ELEMENTOS</t>
  </si>
  <si>
    <t>#</t>
  </si>
  <si>
    <t>MARCA</t>
  </si>
  <si>
    <t>REFERENCIA</t>
  </si>
  <si>
    <t xml:space="preserve">MOVIL </t>
  </si>
  <si>
    <t>PLACA</t>
  </si>
  <si>
    <t>MODELO</t>
  </si>
  <si>
    <t>PRODUCTO</t>
  </si>
  <si>
    <t>FILTRACION</t>
  </si>
  <si>
    <t xml:space="preserve">MARCA </t>
  </si>
  <si>
    <t>CANT</t>
  </si>
  <si>
    <t>1º ETAPA</t>
  </si>
  <si>
    <t xml:space="preserve">CANT </t>
  </si>
  <si>
    <t>2º ETAPA</t>
  </si>
  <si>
    <t>PROXIMO CAMBIO</t>
  </si>
  <si>
    <t>DIAS DE VIGILANCIA</t>
  </si>
  <si>
    <t>ESTADO</t>
  </si>
  <si>
    <t>CHEVROLET</t>
  </si>
  <si>
    <t>NKR</t>
  </si>
  <si>
    <t>MOV 050</t>
  </si>
  <si>
    <t>SLJ-437</t>
  </si>
  <si>
    <t>JET A-1</t>
  </si>
  <si>
    <t>Monitor</t>
  </si>
  <si>
    <t>Facet</t>
  </si>
  <si>
    <t>FG-O-512-7</t>
  </si>
  <si>
    <t>N/A</t>
  </si>
  <si>
    <t xml:space="preserve">ACO 51201-P </t>
  </si>
  <si>
    <t>SM-436FB-5</t>
  </si>
  <si>
    <t>KODIAK</t>
  </si>
  <si>
    <t>MOV 051</t>
  </si>
  <si>
    <t>UFQ-586</t>
  </si>
  <si>
    <t>Separador</t>
  </si>
  <si>
    <t>CAA33-5SB</t>
  </si>
  <si>
    <t>SS436FB-5</t>
  </si>
  <si>
    <t>CA33-3SB</t>
  </si>
  <si>
    <t>SO-324VA5</t>
  </si>
  <si>
    <t>MOV 053</t>
  </si>
  <si>
    <t>UFT-131</t>
  </si>
  <si>
    <t>Velcon</t>
  </si>
  <si>
    <t>I-633C5TB</t>
  </si>
  <si>
    <t>SO-436V5</t>
  </si>
  <si>
    <t>CAA14-5SB</t>
  </si>
  <si>
    <t>NPR</t>
  </si>
  <si>
    <t>CTV-080</t>
  </si>
  <si>
    <t>CAA22-5SB</t>
  </si>
  <si>
    <t>SS624FB-5</t>
  </si>
  <si>
    <t>SO-623VA</t>
  </si>
  <si>
    <t>MOV 056</t>
  </si>
  <si>
    <t>VEG-911</t>
  </si>
  <si>
    <t>CAA28-5SB</t>
  </si>
  <si>
    <t>SS424FB-5</t>
  </si>
  <si>
    <t>KW DART</t>
  </si>
  <si>
    <t>80FTDR</t>
  </si>
  <si>
    <t>MOV 057</t>
  </si>
  <si>
    <t>T-6743</t>
  </si>
  <si>
    <t xml:space="preserve">FG-230-7 </t>
  </si>
  <si>
    <t>SRM-775</t>
  </si>
  <si>
    <t>SS614FD-5</t>
  </si>
  <si>
    <t>CDF-230P</t>
  </si>
  <si>
    <t>INTERNATIONAL</t>
  </si>
  <si>
    <t>S 1900</t>
  </si>
  <si>
    <t>MOV 059</t>
  </si>
  <si>
    <t>GFP-522</t>
  </si>
  <si>
    <t>FG-0-512-2</t>
  </si>
  <si>
    <t>SS622FB-5</t>
  </si>
  <si>
    <t>MOV 062</t>
  </si>
  <si>
    <t>LAM-566</t>
  </si>
  <si>
    <t>SS630FE-5</t>
  </si>
  <si>
    <t>MOV 064</t>
  </si>
  <si>
    <t>FTR-598</t>
  </si>
  <si>
    <t>SS622FF-5</t>
  </si>
  <si>
    <t>MOV 065</t>
  </si>
  <si>
    <t>VKK-836</t>
  </si>
  <si>
    <t>FG-O-609-7</t>
  </si>
  <si>
    <t>TOTAL</t>
  </si>
  <si>
    <t>WOW-051</t>
  </si>
  <si>
    <t>I-622C5TB</t>
  </si>
  <si>
    <t>MOV 067</t>
  </si>
  <si>
    <t>WOW-069</t>
  </si>
  <si>
    <t>MOV 068</t>
  </si>
  <si>
    <t>WOW-071</t>
  </si>
  <si>
    <t>MOV 069</t>
  </si>
  <si>
    <t>SRM-773</t>
  </si>
  <si>
    <t>MOV 071</t>
  </si>
  <si>
    <t>SRM-774</t>
  </si>
  <si>
    <t>MOV 072</t>
  </si>
  <si>
    <t>SOP-688</t>
  </si>
  <si>
    <t>AV Gas</t>
  </si>
  <si>
    <t>DT 466</t>
  </si>
  <si>
    <t>MOV 073</t>
  </si>
  <si>
    <t>GFP-509</t>
  </si>
  <si>
    <t>MOV 074</t>
  </si>
  <si>
    <t>SRP-464</t>
  </si>
  <si>
    <t>Cartucho</t>
  </si>
  <si>
    <t>FORD</t>
  </si>
  <si>
    <t>F 800</t>
  </si>
  <si>
    <t>MOV 075</t>
  </si>
  <si>
    <t>GFP-512</t>
  </si>
  <si>
    <t>MOV 077</t>
  </si>
  <si>
    <t>SRP-605</t>
  </si>
  <si>
    <t>MOV 078</t>
  </si>
  <si>
    <t>SRP-748</t>
  </si>
  <si>
    <t>MOV 079</t>
  </si>
  <si>
    <t>SPV-738</t>
  </si>
  <si>
    <t>MOV 080</t>
  </si>
  <si>
    <t>SPV-739</t>
  </si>
  <si>
    <t>F 600</t>
  </si>
  <si>
    <t>MOV 082</t>
  </si>
  <si>
    <t>KPN-543</t>
  </si>
  <si>
    <t>MOV 083</t>
  </si>
  <si>
    <t>KPN-555</t>
  </si>
  <si>
    <t>NQR</t>
  </si>
  <si>
    <t>MOV 084</t>
  </si>
  <si>
    <t>SZW-246</t>
  </si>
  <si>
    <t>MOV 085</t>
  </si>
  <si>
    <t>SZW-389</t>
  </si>
  <si>
    <t>4700 4X2</t>
  </si>
  <si>
    <t>MOV 086</t>
  </si>
  <si>
    <t>WOW-093</t>
  </si>
  <si>
    <t>MOV 088</t>
  </si>
  <si>
    <t>SPX-874</t>
  </si>
  <si>
    <t>MOV 089</t>
  </si>
  <si>
    <t>SPY-210</t>
  </si>
  <si>
    <t>MOV 090</t>
  </si>
  <si>
    <t>SKH-065</t>
  </si>
  <si>
    <t>MOV 091</t>
  </si>
  <si>
    <t>KPN-551</t>
  </si>
  <si>
    <t>INFORMACIÓN GENERAL</t>
  </si>
  <si>
    <t>PRODUCTO Y DATOS FILTRO</t>
  </si>
  <si>
    <t>ELEMENTOS FILTRANTES</t>
  </si>
  <si>
    <t>FECHA</t>
  </si>
  <si>
    <t>DATOS Y MEDIDAS CARCAZA</t>
  </si>
  <si>
    <t>RATA</t>
  </si>
  <si>
    <t>Posición de tapa</t>
  </si>
  <si>
    <t>VOLUMEN</t>
  </si>
  <si>
    <t>Carcasa del Filtro</t>
  </si>
  <si>
    <t>Diámetro Tubería</t>
  </si>
  <si>
    <t xml:space="preserve">REFUELLER </t>
  </si>
  <si>
    <t>CAP TK</t>
  </si>
  <si>
    <t>TIPO</t>
  </si>
  <si>
    <t>MODELO2</t>
  </si>
  <si>
    <t>S/N</t>
  </si>
  <si>
    <t>Cant.1</t>
  </si>
  <si>
    <t>1º Etapa</t>
  </si>
  <si>
    <t>Cant 2</t>
  </si>
  <si>
    <t>2º Etapa</t>
  </si>
  <si>
    <t>Cambio Elementos</t>
  </si>
  <si>
    <t xml:space="preserve"> MAX (gls/min)</t>
  </si>
  <si>
    <t xml:space="preserve">TIPO </t>
  </si>
  <si>
    <t>Superior</t>
  </si>
  <si>
    <t>Lateral</t>
  </si>
  <si>
    <t>FILTRO  (GLS)</t>
  </si>
  <si>
    <t>Diámetro Cm</t>
  </si>
  <si>
    <t>Largo Cm</t>
  </si>
  <si>
    <t>Entrada</t>
  </si>
  <si>
    <t>Salida</t>
  </si>
  <si>
    <t>OBSERVACIONES</t>
  </si>
  <si>
    <t>M050</t>
  </si>
  <si>
    <t>VF-61</t>
  </si>
  <si>
    <t>Ver</t>
  </si>
  <si>
    <t>X</t>
  </si>
  <si>
    <t>1 1/2"</t>
  </si>
  <si>
    <t>M051</t>
  </si>
  <si>
    <t>HCS-3331436</t>
  </si>
  <si>
    <t>F9137-1</t>
  </si>
  <si>
    <t>CAA 33-5SB</t>
  </si>
  <si>
    <t>SS 436-FB-5</t>
  </si>
  <si>
    <t>Hor</t>
  </si>
  <si>
    <t>3"</t>
  </si>
  <si>
    <t>M053</t>
  </si>
  <si>
    <t>HV-1633</t>
  </si>
  <si>
    <t xml:space="preserve"> I-633C5TB</t>
  </si>
  <si>
    <t>SO 436V5</t>
  </si>
  <si>
    <t>M055</t>
  </si>
  <si>
    <t>HV-1422</t>
  </si>
  <si>
    <t>2"</t>
  </si>
  <si>
    <t>M056</t>
  </si>
  <si>
    <t>VEC-911</t>
  </si>
  <si>
    <t>HV-1633M022</t>
  </si>
  <si>
    <t xml:space="preserve"> SS436FB-5</t>
  </si>
  <si>
    <t>M057</t>
  </si>
  <si>
    <t>M058</t>
  </si>
  <si>
    <t>V-1622</t>
  </si>
  <si>
    <t>M059</t>
  </si>
  <si>
    <t>HV-1633 M-150</t>
  </si>
  <si>
    <t>M062</t>
  </si>
  <si>
    <t>LAN-566</t>
  </si>
  <si>
    <t>VV-2028</t>
  </si>
  <si>
    <t>SS 630 FE-5</t>
  </si>
  <si>
    <t>M064</t>
  </si>
  <si>
    <t>FRT-598</t>
  </si>
  <si>
    <t>4"</t>
  </si>
  <si>
    <t>M065</t>
  </si>
  <si>
    <t>HFG-D-10230</t>
  </si>
  <si>
    <t>CAA335SB</t>
  </si>
  <si>
    <t>M066</t>
  </si>
  <si>
    <t>M067</t>
  </si>
  <si>
    <t>M068</t>
  </si>
  <si>
    <t>HVS-1633M150</t>
  </si>
  <si>
    <t>M069</t>
  </si>
  <si>
    <t>M071</t>
  </si>
  <si>
    <t>HV-1422P1</t>
  </si>
  <si>
    <t>SO 324VA5</t>
  </si>
  <si>
    <t>71.5</t>
  </si>
  <si>
    <t>M072</t>
  </si>
  <si>
    <t>M073</t>
  </si>
  <si>
    <t>HCS-C-333-1436</t>
  </si>
  <si>
    <t>F-4007-1</t>
  </si>
  <si>
    <t>M074</t>
  </si>
  <si>
    <t>AV GAS</t>
  </si>
  <si>
    <t>M075</t>
  </si>
  <si>
    <t>HV-1633M150</t>
  </si>
  <si>
    <t>28815-4</t>
  </si>
  <si>
    <t>M077</t>
  </si>
  <si>
    <t>HV-1422B1</t>
  </si>
  <si>
    <t>M078</t>
  </si>
  <si>
    <t>HV-1622</t>
  </si>
  <si>
    <t>SO623VA</t>
  </si>
  <si>
    <t>M079</t>
  </si>
  <si>
    <t>M080</t>
  </si>
  <si>
    <t>M082</t>
  </si>
  <si>
    <t>M083</t>
  </si>
  <si>
    <t>VF-609</t>
  </si>
  <si>
    <t>M084</t>
  </si>
  <si>
    <t>M085</t>
  </si>
  <si>
    <t>HFG-D-2030</t>
  </si>
  <si>
    <t>F6849-1</t>
  </si>
  <si>
    <t xml:space="preserve"> CDF-230P</t>
  </si>
  <si>
    <t>M086</t>
  </si>
  <si>
    <t>HV-1633M021</t>
  </si>
  <si>
    <t>VC 0683-2</t>
  </si>
  <si>
    <t>M088</t>
  </si>
  <si>
    <t>SO-436-V5</t>
  </si>
  <si>
    <t>M089</t>
  </si>
  <si>
    <t>M090</t>
  </si>
  <si>
    <t>SS424FB5</t>
  </si>
  <si>
    <t>M091</t>
  </si>
  <si>
    <t>EDSA / TERMINAL</t>
  </si>
  <si>
    <t xml:space="preserve">COD </t>
  </si>
  <si>
    <t>UBICACIÓN</t>
  </si>
  <si>
    <t>FILTRACION2</t>
  </si>
  <si>
    <t>AXM</t>
  </si>
  <si>
    <t>ARMENIA</t>
  </si>
  <si>
    <t>Z. Bombas</t>
  </si>
  <si>
    <t>I-628C5TB</t>
  </si>
  <si>
    <t>SO-609V5</t>
  </si>
  <si>
    <t>ACO 51201-L</t>
  </si>
  <si>
    <t>SO-436VA</t>
  </si>
  <si>
    <t>BAQ</t>
  </si>
  <si>
    <t>BARRAQUILLA</t>
  </si>
  <si>
    <t>I-62287TB</t>
  </si>
  <si>
    <t>SO-629C</t>
  </si>
  <si>
    <t>ACO 51205-B</t>
  </si>
  <si>
    <t>SO-609C</t>
  </si>
  <si>
    <t>SO-609V</t>
  </si>
  <si>
    <t>ACO 51205-L</t>
  </si>
  <si>
    <t>BUN</t>
  </si>
  <si>
    <t>BUENAVENTURA</t>
  </si>
  <si>
    <t>Gabinete</t>
  </si>
  <si>
    <t>ACO 52401-L</t>
  </si>
  <si>
    <t>ACO 60901-L</t>
  </si>
  <si>
    <t>SO-614VA5</t>
  </si>
  <si>
    <t>SO-630PV5</t>
  </si>
  <si>
    <t>SO-623C</t>
  </si>
  <si>
    <t>CLO</t>
  </si>
  <si>
    <t>CALI</t>
  </si>
  <si>
    <t>I-614C5TB</t>
  </si>
  <si>
    <t>CZU</t>
  </si>
  <si>
    <t>COROZAL</t>
  </si>
  <si>
    <t>SO-630PB</t>
  </si>
  <si>
    <t>I-62887TB</t>
  </si>
  <si>
    <t>SO-630V5</t>
  </si>
  <si>
    <t>FLA</t>
  </si>
  <si>
    <t>FLORENCIA</t>
  </si>
  <si>
    <t>GAA</t>
  </si>
  <si>
    <t>GUAYMARAL</t>
  </si>
  <si>
    <t>IBE</t>
  </si>
  <si>
    <t>IBAGUE</t>
  </si>
  <si>
    <t>MZL</t>
  </si>
  <si>
    <t>MANIZALES</t>
  </si>
  <si>
    <t>PEI</t>
  </si>
  <si>
    <t>PEREIRA</t>
  </si>
  <si>
    <t>PPN</t>
  </si>
  <si>
    <t>POPAYAN</t>
  </si>
  <si>
    <t>UIB</t>
  </si>
  <si>
    <t>QUIBDO</t>
  </si>
  <si>
    <t>MED</t>
  </si>
  <si>
    <t>RIONEGRO</t>
  </si>
  <si>
    <t>ELEMENTO</t>
  </si>
  <si>
    <t>REFERENCIAS</t>
  </si>
  <si>
    <t>COSTO</t>
  </si>
  <si>
    <t xml:space="preserve">COSTO </t>
  </si>
  <si>
    <t>FG-O-512-2</t>
  </si>
  <si>
    <t>ACO 52401-P</t>
  </si>
  <si>
    <t>FG-O-524-2</t>
  </si>
  <si>
    <t>FG-O-609-2</t>
  </si>
  <si>
    <t>ACO 60901-P</t>
  </si>
  <si>
    <t>CA-333SB</t>
  </si>
  <si>
    <t>CDF-230K</t>
  </si>
  <si>
    <t>FG-230-6</t>
  </si>
  <si>
    <t>CDF-230-P</t>
  </si>
  <si>
    <t>SO- 624VA</t>
  </si>
  <si>
    <t>SS624FB5</t>
  </si>
  <si>
    <t>SS324FA-5</t>
  </si>
  <si>
    <t>SO-436V</t>
  </si>
  <si>
    <t>SS609FE-5</t>
  </si>
  <si>
    <t>SS609FF-5</t>
  </si>
  <si>
    <t>SO-609VA5</t>
  </si>
  <si>
    <t>SS609FB-5</t>
  </si>
  <si>
    <t>SS614FB-5</t>
  </si>
  <si>
    <t>SS622FD-5</t>
  </si>
  <si>
    <t>SS629FD-5</t>
  </si>
  <si>
    <t>SS-436FB</t>
  </si>
  <si>
    <t>SS-436FB5</t>
  </si>
  <si>
    <t>SS-436FV5</t>
  </si>
  <si>
    <t xml:space="preserve">ITEM </t>
  </si>
  <si>
    <t>VALOR US$</t>
  </si>
  <si>
    <t>VALOR COL$</t>
  </si>
  <si>
    <t>CANTIDAD</t>
  </si>
  <si>
    <t>TOTAL US$</t>
  </si>
  <si>
    <t>TOTAL COL$</t>
  </si>
  <si>
    <t>SUB TOTAL</t>
  </si>
  <si>
    <t>COD</t>
  </si>
  <si>
    <t>REF</t>
  </si>
  <si>
    <t>HVS-2228M</t>
  </si>
  <si>
    <t>11/2"</t>
  </si>
  <si>
    <t>ACO</t>
  </si>
  <si>
    <t>FCS-262-3N1</t>
  </si>
  <si>
    <t>ACO-51201L</t>
  </si>
  <si>
    <t>HVS2228M</t>
  </si>
  <si>
    <t xml:space="preserve">Z. Filtracion   </t>
  </si>
  <si>
    <t>FCS 663 - 4K21</t>
  </si>
  <si>
    <t>Z. Gabinete</t>
  </si>
  <si>
    <t>VV2328150</t>
  </si>
  <si>
    <t>28628-3</t>
  </si>
  <si>
    <t>6"</t>
  </si>
  <si>
    <t>28628-1</t>
  </si>
  <si>
    <t>HVS 2228M</t>
  </si>
  <si>
    <t>V 2833004</t>
  </si>
  <si>
    <t>VC 0559-3</t>
  </si>
  <si>
    <t>PRODUCTO  Y FABRICANTE</t>
  </si>
  <si>
    <t>ELEMENTOS Y RATA DE FLUJO</t>
  </si>
  <si>
    <t>ELEMENTOS 1º ETAPA</t>
  </si>
  <si>
    <t>ELEMENTOS 2º ETAPA</t>
  </si>
  <si>
    <t xml:space="preserve">Posición de tapa </t>
  </si>
  <si>
    <t>Nº</t>
  </si>
  <si>
    <t xml:space="preserve">PLANTA </t>
  </si>
  <si>
    <t>1º Etapa Velcon</t>
  </si>
  <si>
    <t>1º Etapa    Facet</t>
  </si>
  <si>
    <t xml:space="preserve"> Próximo Cambio</t>
  </si>
  <si>
    <t>2º Etapa Velcon</t>
  </si>
  <si>
    <t>2º Etapa   Facet</t>
  </si>
  <si>
    <t>2 Próximo Cambio</t>
  </si>
  <si>
    <t>RATA FLUJO MAXIMA TRABAJO (gls/min)</t>
  </si>
  <si>
    <t>CAP FILTRO  (GLS)</t>
  </si>
  <si>
    <t>Diámetro Filtro Cm</t>
  </si>
  <si>
    <t>Largo Filtro Cm</t>
  </si>
  <si>
    <t>F28</t>
  </si>
  <si>
    <t>Buenaventura</t>
  </si>
  <si>
    <t>F26</t>
  </si>
  <si>
    <t>Cali</t>
  </si>
  <si>
    <t>F51</t>
  </si>
  <si>
    <t>Corozal</t>
  </si>
  <si>
    <t>F52</t>
  </si>
  <si>
    <t>F53</t>
  </si>
  <si>
    <t>F01</t>
  </si>
  <si>
    <t>Florencia</t>
  </si>
  <si>
    <t>F02</t>
  </si>
  <si>
    <t>ACO-52401P</t>
  </si>
  <si>
    <t>F65</t>
  </si>
  <si>
    <t>Girardota</t>
  </si>
  <si>
    <t>F06</t>
  </si>
  <si>
    <t>Guaymaral</t>
  </si>
  <si>
    <t>F07</t>
  </si>
  <si>
    <t>F08</t>
  </si>
  <si>
    <t>F09</t>
  </si>
  <si>
    <t>F10</t>
  </si>
  <si>
    <t>Ibagué</t>
  </si>
  <si>
    <t>F11</t>
  </si>
  <si>
    <t>ACO-51201P</t>
  </si>
  <si>
    <t>F12</t>
  </si>
  <si>
    <t>F13</t>
  </si>
  <si>
    <t>ACO-51205P</t>
  </si>
  <si>
    <t>F33</t>
  </si>
  <si>
    <t>Manizalez</t>
  </si>
  <si>
    <t>F38</t>
  </si>
  <si>
    <t>Mansilla</t>
  </si>
  <si>
    <t>Z. Bombas Desp.</t>
  </si>
  <si>
    <t>F30</t>
  </si>
  <si>
    <t>Pereira</t>
  </si>
  <si>
    <t>HCS 3331436</t>
  </si>
  <si>
    <t>F29</t>
  </si>
  <si>
    <t>Popayán</t>
  </si>
  <si>
    <t>F36</t>
  </si>
  <si>
    <t>Quibdo</t>
  </si>
  <si>
    <t>ACO-60901L</t>
  </si>
  <si>
    <t>Elementos de Sacrificio</t>
  </si>
  <si>
    <t>F37</t>
  </si>
  <si>
    <t>F58</t>
  </si>
  <si>
    <t>Rio negro</t>
  </si>
  <si>
    <t>F59</t>
  </si>
  <si>
    <t>F48</t>
  </si>
  <si>
    <t>Riohacha</t>
  </si>
  <si>
    <t>F49</t>
  </si>
  <si>
    <t>F50</t>
  </si>
  <si>
    <t>F54</t>
  </si>
  <si>
    <t>Santa Marta</t>
  </si>
  <si>
    <t>PESOS</t>
  </si>
  <si>
    <t>DÓLAR</t>
  </si>
  <si>
    <t>ELEMENTOS FILTRANTES ETAPA 1</t>
  </si>
  <si>
    <t>ELEMENTOS FILTRANTES ETAPA 2</t>
  </si>
  <si>
    <t>DATOS VEHICULOS</t>
  </si>
  <si>
    <t>REFUELLERS</t>
  </si>
  <si>
    <t>DATOS EDSA / TERMINAL</t>
  </si>
  <si>
    <t>PLANTAS</t>
  </si>
  <si>
    <t>FG-230-7</t>
  </si>
  <si>
    <t>EOH</t>
  </si>
  <si>
    <t>MOD</t>
  </si>
  <si>
    <t>CAP</t>
  </si>
  <si>
    <t>Z. Bombas R</t>
  </si>
  <si>
    <t>Z. Bombas D</t>
  </si>
  <si>
    <t xml:space="preserve"> </t>
  </si>
  <si>
    <t>SO-623VA5</t>
  </si>
  <si>
    <t>SO-614FB5</t>
  </si>
  <si>
    <t>SM-436FE-5</t>
  </si>
  <si>
    <t>HVC-1633M150</t>
  </si>
  <si>
    <t>HV-1633M</t>
  </si>
  <si>
    <t>HVM-1633M150</t>
  </si>
  <si>
    <t>53578-8</t>
  </si>
  <si>
    <t>I-63383TB</t>
  </si>
  <si>
    <t>SS609F-5</t>
  </si>
  <si>
    <t>ACO 51201R</t>
  </si>
  <si>
    <t>Etiquetas de fila</t>
  </si>
  <si>
    <t>Total general</t>
  </si>
  <si>
    <t>Suma de CANT</t>
  </si>
  <si>
    <t>Suma de DIAS DE VIGILANCIA</t>
  </si>
  <si>
    <t>SATURADOS</t>
  </si>
  <si>
    <t>MEDELLIN</t>
  </si>
  <si>
    <t>SO-623V5</t>
  </si>
  <si>
    <t>SUP</t>
  </si>
  <si>
    <t>ORA</t>
  </si>
  <si>
    <t>GN</t>
  </si>
  <si>
    <t>HC</t>
  </si>
  <si>
    <t>CRC</t>
  </si>
  <si>
    <t>SS929FD-5</t>
  </si>
  <si>
    <t>OJR</t>
  </si>
  <si>
    <t>T370</t>
  </si>
  <si>
    <t>SPN291</t>
  </si>
  <si>
    <t>KENWORTH</t>
  </si>
  <si>
    <t>MOV 100</t>
  </si>
  <si>
    <t>CAA33-3SB</t>
  </si>
  <si>
    <t>OEO</t>
  </si>
  <si>
    <t>Micronico</t>
  </si>
  <si>
    <t>FO614-PL5</t>
  </si>
  <si>
    <t>I-61487TB</t>
  </si>
  <si>
    <t>ACO 51201P</t>
  </si>
  <si>
    <t>ACO 51201L</t>
  </si>
  <si>
    <t>ACO 51205B</t>
  </si>
  <si>
    <t>ACO 51205L</t>
  </si>
  <si>
    <t>ACO 52401L</t>
  </si>
  <si>
    <t>ACO 60901L</t>
  </si>
  <si>
    <t>V 1°</t>
  </si>
  <si>
    <t>V 2°</t>
  </si>
  <si>
    <t>CANT ISTA</t>
  </si>
  <si>
    <t>PARA CAMB</t>
  </si>
  <si>
    <t>TOTALES</t>
  </si>
  <si>
    <t>CONDICION</t>
  </si>
  <si>
    <t>ACO 52401R</t>
  </si>
  <si>
    <t>TOTAL REFUELLERS</t>
  </si>
  <si>
    <t>REFUELLERS Y PLANTAS</t>
  </si>
  <si>
    <t>REMPLAZO ELEMENTOS</t>
  </si>
  <si>
    <t>IMPOR Y NACIONALIZA</t>
  </si>
  <si>
    <t>Los valores aquí prestados deben ser actualizados, y se debe incluir el valor de importación y nacionalización que puede ser equivalente al 25% del costo.</t>
  </si>
  <si>
    <t>ELEMETOS FILTRNTES PARA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</si>
</sst>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/mm/yyyy;@"/>
    <numFmt numFmtId="165" formatCode="_-* #,##0_-;\-* #,##0_-;_-* &quot;-&quot;??_-;_-@_-"/>
    <numFmt numFmtId="166" formatCode="_-[$$-240A]\ * #,##0.00_-;\-[$$-240A]\ * #,##0.00_-;_-[$$-240A]\ * &quot;-&quot;??_-;_-@_-"/>
    <numFmt numFmtId="167" formatCode="_-[$$-240A]\ * #,##0_-;\-[$$-240A]\ * #,##0_-;_-[$$-240A]\ * &quot;-&quot;??_-;_-@_-"/>
    <numFmt numFmtId="168" formatCode="_-[$USD]\ * #,##0.00_-;\-[$USD]\ * #,##0.00_-;_-[$USD]\ * &quot;-&quot;??_-;_-@_-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1"/>
      <color theme="2"/>
      <name val="Arial Narrow"/>
      <family val="2"/>
    </font>
    <font>
      <b/>
      <sz val="11"/>
      <color rgb="FF000000"/>
      <name val="Arial Narrow"/>
      <family val="2"/>
    </font>
    <font>
      <b/>
      <sz val="20"/>
      <color theme="6" tint="0.79998168889431442"/>
      <name val="Arial Narrow"/>
      <family val="2"/>
    </font>
    <font>
      <b/>
      <sz val="11"/>
      <color theme="3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1"/>
      <color theme="2"/>
      <name val="Calibri"/>
      <family val="2"/>
      <scheme val="minor"/>
    </font>
    <font>
      <b/>
      <sz val="16"/>
      <color theme="6" tint="0.79998168889431442"/>
      <name val="Arial Narrow"/>
      <family val="2"/>
    </font>
    <font>
      <b/>
      <sz val="12"/>
      <color theme="6" tint="0.79998168889431442"/>
      <name val="Arial Narrow"/>
      <family val="2"/>
    </font>
    <font>
      <b/>
      <sz val="12"/>
      <color theme="2"/>
      <name val="Arial Narrow"/>
      <family val="2"/>
    </font>
    <font>
      <b/>
      <sz val="11"/>
      <color theme="1"/>
      <name val="Calibri"/>
      <family val="2"/>
      <scheme val="minor"/>
    </font>
    <font>
      <b/>
      <sz val="8"/>
      <color theme="2"/>
      <name val="Arial Narrow"/>
      <family val="2"/>
    </font>
    <font>
      <b/>
      <sz val="14"/>
      <color theme="6" tint="0.79998168889431442"/>
      <name val="Arial Narrow"/>
      <family val="2"/>
    </font>
    <font>
      <sz val="14"/>
      <color theme="1"/>
      <name val="Calibri"/>
      <family val="2"/>
      <scheme val="minor"/>
    </font>
    <font>
      <b/>
      <sz val="11"/>
      <color theme="6" tint="0.79998168889431442"/>
      <name val="Arial Narrow"/>
      <family val="2"/>
    </font>
    <font>
      <b/>
      <sz val="22"/>
      <color theme="1"/>
      <name val="Arial Narrow"/>
      <family val="2"/>
    </font>
    <font>
      <b/>
      <sz val="12"/>
      <color theme="3"/>
      <name val="Arial Narrow"/>
      <family val="2"/>
    </font>
    <font>
      <b/>
      <sz val="12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theme="4"/>
      </patternFill>
    </fill>
    <fill>
      <patternFill patternType="solid">
        <fgColor theme="4" tint="-0.249977111117893"/>
        <bgColor indexed="64"/>
      </patternFill>
    </fill>
  </fills>
  <borders count="8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theme="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theme="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theme="4" tint="0.39997558519241921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theme="7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7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7" tint="0.39997558519241921"/>
      </bottom>
      <diagonal/>
    </border>
    <border>
      <left style="hair">
        <color auto="1"/>
      </left>
      <right style="hair">
        <color auto="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23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4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42" fontId="4" fillId="0" borderId="0" xfId="234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indent="1"/>
    </xf>
    <xf numFmtId="3" fontId="7" fillId="0" borderId="18" xfId="233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right" vertical="center" indent="1"/>
    </xf>
    <xf numFmtId="0" fontId="7" fillId="0" borderId="18" xfId="0" applyFont="1" applyBorder="1" applyAlignment="1">
      <alignment horizontal="right" vertical="center" indent="1"/>
    </xf>
    <xf numFmtId="3" fontId="11" fillId="0" borderId="18" xfId="233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right" vertical="center" wrapText="1" indent="1"/>
    </xf>
    <xf numFmtId="0" fontId="6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vertical="center"/>
    </xf>
    <xf numFmtId="165" fontId="4" fillId="0" borderId="0" xfId="233" applyNumberFormat="1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14" fillId="24" borderId="22" xfId="0" applyFont="1" applyFill="1" applyBorder="1" applyAlignment="1">
      <alignment horizontal="center" vertical="center" wrapText="1" shrinkToFit="1"/>
    </xf>
    <xf numFmtId="14" fontId="14" fillId="24" borderId="63" xfId="0" applyNumberFormat="1" applyFont="1" applyFill="1" applyBorder="1" applyAlignment="1">
      <alignment horizontal="center" vertical="center" wrapText="1" shrinkToFit="1"/>
    </xf>
    <xf numFmtId="0" fontId="4" fillId="0" borderId="4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" fontId="7" fillId="23" borderId="49" xfId="0" applyNumberFormat="1" applyFont="1" applyFill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1" fontId="7" fillId="23" borderId="52" xfId="0" applyNumberFormat="1" applyFont="1" applyFill="1" applyBorder="1" applyAlignment="1">
      <alignment horizontal="center" vertical="center"/>
    </xf>
    <xf numFmtId="0" fontId="14" fillId="24" borderId="64" xfId="0" applyFont="1" applyFill="1" applyBorder="1" applyAlignment="1">
      <alignment horizontal="center" vertical="center" wrapText="1" shrinkToFit="1"/>
    </xf>
    <xf numFmtId="0" fontId="15" fillId="0" borderId="62" xfId="0" applyFont="1" applyBorder="1" applyAlignment="1">
      <alignment horizontal="center" vertical="center" wrapText="1"/>
    </xf>
    <xf numFmtId="1" fontId="14" fillId="24" borderId="17" xfId="0" applyNumberFormat="1" applyFont="1" applyFill="1" applyBorder="1" applyAlignment="1">
      <alignment horizontal="center" vertical="center" wrapText="1"/>
    </xf>
    <xf numFmtId="165" fontId="14" fillId="24" borderId="23" xfId="0" applyNumberFormat="1" applyFont="1" applyFill="1" applyBorder="1" applyAlignment="1">
      <alignment horizontal="center" vertical="center" wrapText="1" shrinkToFit="1"/>
    </xf>
    <xf numFmtId="165" fontId="8" fillId="0" borderId="19" xfId="233" applyNumberFormat="1" applyFont="1" applyBorder="1" applyAlignment="1">
      <alignment horizontal="left" vertical="center" wrapText="1" indent="1"/>
    </xf>
    <xf numFmtId="165" fontId="4" fillId="0" borderId="19" xfId="233" applyNumberFormat="1" applyFont="1" applyBorder="1" applyAlignment="1">
      <alignment horizontal="left" vertical="center" wrapText="1" indent="1"/>
    </xf>
    <xf numFmtId="165" fontId="8" fillId="0" borderId="29" xfId="233" applyNumberFormat="1" applyFont="1" applyBorder="1" applyAlignment="1">
      <alignment horizontal="left" vertical="center" wrapText="1" indent="1"/>
    </xf>
    <xf numFmtId="0" fontId="14" fillId="24" borderId="21" xfId="0" applyFont="1" applyFill="1" applyBorder="1" applyAlignment="1">
      <alignment horizontal="center" vertical="center" wrapText="1" shrinkToFit="1"/>
    </xf>
    <xf numFmtId="0" fontId="14" fillId="24" borderId="23" xfId="0" applyFont="1" applyFill="1" applyBorder="1" applyAlignment="1">
      <alignment horizontal="center" vertical="center" wrapText="1" shrinkToFit="1"/>
    </xf>
    <xf numFmtId="17" fontId="4" fillId="6" borderId="19" xfId="0" applyNumberFormat="1" applyFont="1" applyFill="1" applyBorder="1" applyAlignment="1">
      <alignment horizontal="center" vertical="center"/>
    </xf>
    <xf numFmtId="17" fontId="8" fillId="6" borderId="19" xfId="0" applyNumberFormat="1" applyFont="1" applyFill="1" applyBorder="1" applyAlignment="1">
      <alignment horizontal="center" vertical="center"/>
    </xf>
    <xf numFmtId="17" fontId="7" fillId="6" borderId="19" xfId="0" applyNumberFormat="1" applyFont="1" applyFill="1" applyBorder="1" applyAlignment="1">
      <alignment horizontal="center" vertical="center"/>
    </xf>
    <xf numFmtId="17" fontId="8" fillId="6" borderId="29" xfId="0" applyNumberFormat="1" applyFont="1" applyFill="1" applyBorder="1" applyAlignment="1">
      <alignment horizontal="center" vertical="center"/>
    </xf>
    <xf numFmtId="0" fontId="14" fillId="24" borderId="52" xfId="0" applyFont="1" applyFill="1" applyBorder="1" applyAlignment="1">
      <alignment horizontal="center" vertical="center"/>
    </xf>
    <xf numFmtId="0" fontId="14" fillId="24" borderId="18" xfId="0" applyFont="1" applyFill="1" applyBorder="1" applyAlignment="1">
      <alignment horizontal="center" vertical="center"/>
    </xf>
    <xf numFmtId="0" fontId="14" fillId="24" borderId="18" xfId="0" applyFont="1" applyFill="1" applyBorder="1" applyAlignment="1">
      <alignment horizontal="center" vertical="center" wrapText="1"/>
    </xf>
    <xf numFmtId="14" fontId="14" fillId="24" borderId="22" xfId="0" applyNumberFormat="1" applyFont="1" applyFill="1" applyBorder="1" applyAlignment="1">
      <alignment vertical="center"/>
    </xf>
    <xf numFmtId="0" fontId="14" fillId="24" borderId="22" xfId="0" applyFont="1" applyFill="1" applyBorder="1" applyAlignment="1">
      <alignment horizontal="center" vertical="center"/>
    </xf>
    <xf numFmtId="0" fontId="14" fillId="24" borderId="22" xfId="0" applyFont="1" applyFill="1" applyBorder="1" applyAlignment="1">
      <alignment horizontal="center" vertical="center" wrapText="1"/>
    </xf>
    <xf numFmtId="164" fontId="7" fillId="0" borderId="48" xfId="0" applyNumberFormat="1" applyFont="1" applyBorder="1" applyAlignment="1">
      <alignment horizontal="right" vertical="center" indent="1"/>
    </xf>
    <xf numFmtId="0" fontId="7" fillId="0" borderId="48" xfId="0" applyFont="1" applyBorder="1" applyAlignment="1">
      <alignment horizontal="right" vertical="center" indent="1"/>
    </xf>
    <xf numFmtId="0" fontId="7" fillId="0" borderId="48" xfId="0" applyFont="1" applyBorder="1" applyAlignment="1">
      <alignment horizontal="right" vertical="center" wrapText="1" indent="1"/>
    </xf>
    <xf numFmtId="0" fontId="7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 indent="1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 indent="1"/>
    </xf>
    <xf numFmtId="164" fontId="7" fillId="0" borderId="18" xfId="0" applyNumberFormat="1" applyFont="1" applyBorder="1" applyAlignment="1">
      <alignment horizontal="right" vertical="center" indent="1"/>
    </xf>
    <xf numFmtId="0" fontId="4" fillId="0" borderId="18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right" vertical="center" indent="1"/>
    </xf>
    <xf numFmtId="164" fontId="7" fillId="0" borderId="18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indent="1"/>
    </xf>
    <xf numFmtId="0" fontId="6" fillId="0" borderId="61" xfId="0" applyFont="1" applyBorder="1" applyAlignment="1">
      <alignment horizontal="center" vertical="center"/>
    </xf>
    <xf numFmtId="0" fontId="14" fillId="24" borderId="63" xfId="0" applyFont="1" applyFill="1" applyBorder="1" applyAlignment="1">
      <alignment horizontal="center" vertical="center" wrapText="1" shrinkToFit="1"/>
    </xf>
    <xf numFmtId="0" fontId="6" fillId="2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 vertical="center" indent="1"/>
    </xf>
    <xf numFmtId="0" fontId="12" fillId="0" borderId="18" xfId="0" applyFont="1" applyBorder="1" applyAlignment="1">
      <alignment horizontal="left" vertical="center" wrapText="1" indent="1"/>
    </xf>
    <xf numFmtId="0" fontId="13" fillId="0" borderId="18" xfId="0" applyFont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 indent="1"/>
    </xf>
    <xf numFmtId="0" fontId="7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left" vertical="center" indent="1"/>
    </xf>
    <xf numFmtId="0" fontId="7" fillId="25" borderId="1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18" xfId="0" applyFont="1" applyBorder="1" applyAlignment="1">
      <alignment horizontal="left" vertical="center" indent="1"/>
    </xf>
    <xf numFmtId="0" fontId="4" fillId="25" borderId="18" xfId="0" applyFont="1" applyFill="1" applyBorder="1" applyAlignment="1">
      <alignment horizontal="center" vertical="center"/>
    </xf>
    <xf numFmtId="0" fontId="7" fillId="25" borderId="18" xfId="0" applyFont="1" applyFill="1" applyBorder="1" applyAlignment="1">
      <alignment horizontal="center" vertical="center" wrapText="1"/>
    </xf>
    <xf numFmtId="0" fontId="14" fillId="24" borderId="22" xfId="0" applyFont="1" applyFill="1" applyBorder="1" applyAlignment="1">
      <alignment horizontal="left" vertical="center" wrapText="1" indent="1"/>
    </xf>
    <xf numFmtId="0" fontId="7" fillId="23" borderId="18" xfId="0" applyFont="1" applyFill="1" applyBorder="1" applyAlignment="1">
      <alignment horizontal="center" vertical="center"/>
    </xf>
    <xf numFmtId="0" fontId="4" fillId="23" borderId="18" xfId="0" applyFont="1" applyFill="1" applyBorder="1" applyAlignment="1">
      <alignment horizontal="center" vertical="center"/>
    </xf>
    <xf numFmtId="0" fontId="8" fillId="23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7" fillId="23" borderId="18" xfId="0" applyFont="1" applyFill="1" applyBorder="1" applyAlignment="1">
      <alignment horizontal="center"/>
    </xf>
    <xf numFmtId="164" fontId="7" fillId="23" borderId="18" xfId="0" applyNumberFormat="1" applyFont="1" applyFill="1" applyBorder="1" applyAlignment="1">
      <alignment horizontal="center" vertical="center"/>
    </xf>
    <xf numFmtId="0" fontId="7" fillId="23" borderId="18" xfId="0" applyFont="1" applyFill="1" applyBorder="1" applyAlignment="1">
      <alignment horizontal="center" vertical="center" wrapText="1"/>
    </xf>
    <xf numFmtId="166" fontId="12" fillId="0" borderId="22" xfId="235" applyNumberFormat="1" applyFont="1" applyFill="1" applyBorder="1" applyAlignment="1" applyProtection="1">
      <alignment vertical="center" shrinkToFit="1"/>
      <protection locked="0"/>
    </xf>
    <xf numFmtId="0" fontId="7" fillId="0" borderId="18" xfId="0" applyFont="1" applyBorder="1" applyAlignment="1">
      <alignment horizontal="left" indent="1"/>
    </xf>
    <xf numFmtId="164" fontId="7" fillId="0" borderId="18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22" xfId="0" applyFont="1" applyBorder="1" applyAlignment="1">
      <alignment horizontal="left" vertical="center"/>
    </xf>
    <xf numFmtId="166" fontId="12" fillId="0" borderId="18" xfId="235" applyNumberFormat="1" applyFont="1" applyFill="1" applyBorder="1" applyAlignment="1" applyProtection="1">
      <alignment vertical="center" shrinkToFit="1"/>
      <protection locked="0"/>
    </xf>
    <xf numFmtId="0" fontId="7" fillId="0" borderId="18" xfId="0" applyFont="1" applyBorder="1" applyAlignment="1">
      <alignment horizontal="left" vertical="center" indent="2"/>
    </xf>
    <xf numFmtId="0" fontId="18" fillId="0" borderId="0" xfId="0" applyFont="1" applyAlignment="1" applyProtection="1">
      <alignment vertical="center"/>
      <protection hidden="1"/>
    </xf>
    <xf numFmtId="167" fontId="12" fillId="0" borderId="40" xfId="235" applyNumberFormat="1" applyFont="1" applyFill="1" applyBorder="1" applyAlignment="1" applyProtection="1">
      <alignment horizontal="right" vertical="center" shrinkToFit="1"/>
      <protection hidden="1"/>
    </xf>
    <xf numFmtId="166" fontId="12" fillId="0" borderId="63" xfId="235" applyNumberFormat="1" applyFont="1" applyFill="1" applyBorder="1" applyAlignment="1" applyProtection="1">
      <alignment horizontal="right" vertical="center" shrinkToFit="1"/>
      <protection hidden="1"/>
    </xf>
    <xf numFmtId="168" fontId="19" fillId="0" borderId="1" xfId="0" applyNumberFormat="1" applyFont="1" applyBorder="1" applyAlignment="1" applyProtection="1">
      <alignment vertical="center"/>
      <protection hidden="1"/>
    </xf>
    <xf numFmtId="166" fontId="19" fillId="0" borderId="1" xfId="0" applyNumberFormat="1" applyFont="1" applyBorder="1" applyAlignment="1" applyProtection="1">
      <alignment vertical="center"/>
      <protection hidden="1"/>
    </xf>
    <xf numFmtId="168" fontId="19" fillId="2" borderId="1" xfId="0" applyNumberFormat="1" applyFont="1" applyFill="1" applyBorder="1" applyAlignment="1" applyProtection="1">
      <alignment vertical="center"/>
      <protection hidden="1"/>
    </xf>
    <xf numFmtId="166" fontId="19" fillId="2" borderId="1" xfId="0" applyNumberFormat="1" applyFont="1" applyFill="1" applyBorder="1" applyAlignment="1" applyProtection="1">
      <alignment vertical="center"/>
      <protection hidden="1"/>
    </xf>
    <xf numFmtId="9" fontId="19" fillId="0" borderId="1" xfId="0" applyNumberFormat="1" applyFont="1" applyBorder="1" applyAlignment="1" applyProtection="1">
      <alignment horizontal="center" vertical="center"/>
      <protection hidden="1"/>
    </xf>
    <xf numFmtId="0" fontId="22" fillId="2" borderId="1" xfId="0" applyFont="1" applyFill="1" applyBorder="1" applyAlignment="1" applyProtection="1">
      <alignment horizontal="center" vertical="center"/>
      <protection hidden="1"/>
    </xf>
    <xf numFmtId="167" fontId="21" fillId="0" borderId="1" xfId="235" applyNumberFormat="1" applyFont="1" applyBorder="1" applyAlignment="1" applyProtection="1">
      <alignment horizontal="center" vertical="center"/>
      <protection hidden="1"/>
    </xf>
    <xf numFmtId="0" fontId="20" fillId="24" borderId="1" xfId="0" applyFont="1" applyFill="1" applyBorder="1" applyAlignment="1" applyProtection="1">
      <alignment horizontal="center" vertical="center" wrapText="1" shrinkToFit="1"/>
      <protection hidden="1"/>
    </xf>
    <xf numFmtId="44" fontId="20" fillId="24" borderId="1" xfId="235" applyFont="1" applyFill="1" applyBorder="1" applyAlignment="1" applyProtection="1">
      <alignment horizontal="center" vertical="center" wrapText="1" shrinkToFit="1"/>
      <protection hidden="1"/>
    </xf>
    <xf numFmtId="0" fontId="20" fillId="24" borderId="72" xfId="0" applyFont="1" applyFill="1" applyBorder="1" applyAlignment="1" applyProtection="1">
      <alignment horizontal="center" vertical="center" wrapText="1" shrinkToFit="1"/>
      <protection hidden="1"/>
    </xf>
    <xf numFmtId="168" fontId="12" fillId="0" borderId="1" xfId="0" applyNumberFormat="1" applyFont="1" applyBorder="1" applyAlignment="1" applyProtection="1">
      <alignment vertical="center"/>
      <protection hidden="1"/>
    </xf>
    <xf numFmtId="166" fontId="12" fillId="0" borderId="1" xfId="0" applyNumberFormat="1" applyFont="1" applyBorder="1" applyAlignment="1" applyProtection="1">
      <alignment vertical="center"/>
      <protection hidden="1"/>
    </xf>
    <xf numFmtId="14" fontId="17" fillId="26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vertical="center"/>
      <protection hidden="1"/>
    </xf>
    <xf numFmtId="0" fontId="25" fillId="24" borderId="18" xfId="0" applyFont="1" applyFill="1" applyBorder="1" applyAlignment="1" applyProtection="1">
      <alignment horizontal="center" vertical="center" wrapText="1"/>
      <protection hidden="1"/>
    </xf>
    <xf numFmtId="0" fontId="25" fillId="24" borderId="22" xfId="0" applyFont="1" applyFill="1" applyBorder="1" applyAlignment="1" applyProtection="1">
      <alignment horizontal="center" vertical="center" wrapText="1"/>
      <protection hidden="1"/>
    </xf>
    <xf numFmtId="0" fontId="26" fillId="24" borderId="22" xfId="0" applyFont="1" applyFill="1" applyBorder="1" applyAlignment="1" applyProtection="1">
      <alignment horizontal="center" vertical="center" wrapText="1"/>
      <protection hidden="1"/>
    </xf>
    <xf numFmtId="0" fontId="26" fillId="24" borderId="63" xfId="0" applyFont="1" applyFill="1" applyBorder="1" applyAlignment="1" applyProtection="1">
      <alignment horizontal="center" vertical="center" wrapText="1"/>
      <protection hidden="1"/>
    </xf>
    <xf numFmtId="0" fontId="25" fillId="24" borderId="63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3" fontId="7" fillId="0" borderId="18" xfId="233" applyNumberFormat="1" applyFont="1" applyFill="1" applyBorder="1" applyAlignment="1" applyProtection="1">
      <alignment horizontal="center" vertical="center"/>
      <protection hidden="1"/>
    </xf>
    <xf numFmtId="3" fontId="7" fillId="0" borderId="61" xfId="233" applyNumberFormat="1" applyFont="1" applyFill="1" applyBorder="1" applyAlignment="1" applyProtection="1">
      <alignment horizontal="center" vertical="center"/>
      <protection hidden="1"/>
    </xf>
    <xf numFmtId="168" fontId="7" fillId="0" borderId="22" xfId="235" applyNumberFormat="1" applyFont="1" applyFill="1" applyBorder="1" applyAlignment="1" applyProtection="1">
      <alignment horizontal="center" vertical="center"/>
      <protection hidden="1"/>
    </xf>
    <xf numFmtId="0" fontId="7" fillId="0" borderId="48" xfId="0" applyFont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18" xfId="0" applyFont="1" applyBorder="1" applyAlignment="1" applyProtection="1">
      <alignment vertical="center"/>
      <protection hidden="1"/>
    </xf>
    <xf numFmtId="17" fontId="4" fillId="0" borderId="0" xfId="0" applyNumberFormat="1" applyFont="1" applyAlignment="1" applyProtection="1">
      <alignment horizontal="right" vertical="center"/>
      <protection hidden="1"/>
    </xf>
    <xf numFmtId="0" fontId="26" fillId="24" borderId="24" xfId="0" applyFont="1" applyFill="1" applyBorder="1" applyAlignment="1" applyProtection="1">
      <alignment horizontal="center" vertical="center" wrapText="1"/>
      <protection hidden="1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3" fillId="24" borderId="2" xfId="0" applyFont="1" applyFill="1" applyBorder="1" applyAlignment="1" applyProtection="1">
      <alignment vertical="center"/>
      <protection hidden="1"/>
    </xf>
    <xf numFmtId="0" fontId="12" fillId="3" borderId="73" xfId="0" applyFont="1" applyFill="1" applyBorder="1" applyAlignment="1" applyProtection="1">
      <alignment horizontal="center" vertical="center"/>
      <protection hidden="1"/>
    </xf>
    <xf numFmtId="0" fontId="21" fillId="0" borderId="22" xfId="0" applyFont="1" applyBorder="1" applyAlignment="1" applyProtection="1">
      <alignment horizontal="left" vertical="center" indent="1"/>
      <protection hidden="1"/>
    </xf>
    <xf numFmtId="168" fontId="21" fillId="0" borderId="22" xfId="235" applyNumberFormat="1" applyFont="1" applyFill="1" applyBorder="1" applyAlignment="1" applyProtection="1">
      <alignment horizontal="center" vertical="center"/>
      <protection hidden="1"/>
    </xf>
    <xf numFmtId="0" fontId="21" fillId="0" borderId="22" xfId="0" applyFont="1" applyBorder="1" applyAlignment="1" applyProtection="1">
      <alignment horizontal="center" vertical="center"/>
      <protection hidden="1"/>
    </xf>
    <xf numFmtId="0" fontId="21" fillId="0" borderId="18" xfId="0" applyFont="1" applyBorder="1" applyAlignment="1" applyProtection="1">
      <alignment horizontal="left" vertical="center" indent="1"/>
      <protection hidden="1"/>
    </xf>
    <xf numFmtId="168" fontId="21" fillId="0" borderId="18" xfId="235" applyNumberFormat="1" applyFont="1" applyFill="1" applyBorder="1" applyAlignment="1" applyProtection="1">
      <alignment horizontal="center" vertical="center"/>
      <protection hidden="1"/>
    </xf>
    <xf numFmtId="0" fontId="21" fillId="0" borderId="18" xfId="0" applyFont="1" applyBorder="1" applyAlignment="1" applyProtection="1">
      <alignment horizontal="center" vertical="center"/>
      <protection hidden="1"/>
    </xf>
    <xf numFmtId="0" fontId="12" fillId="0" borderId="74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Alignment="1" applyProtection="1">
      <alignment horizontal="left" vertical="center" indent="1"/>
      <protection hidden="1"/>
    </xf>
    <xf numFmtId="164" fontId="21" fillId="0" borderId="18" xfId="0" applyNumberFormat="1" applyFont="1" applyBorder="1" applyAlignment="1" applyProtection="1">
      <alignment horizontal="left" vertical="center" indent="1"/>
      <protection hidden="1"/>
    </xf>
    <xf numFmtId="0" fontId="12" fillId="3" borderId="75" xfId="0" applyFont="1" applyFill="1" applyBorder="1" applyAlignment="1" applyProtection="1">
      <alignment horizontal="center" vertical="center"/>
      <protection hidden="1"/>
    </xf>
    <xf numFmtId="0" fontId="21" fillId="0" borderId="18" xfId="0" applyFont="1" applyBorder="1" applyAlignment="1" applyProtection="1">
      <alignment horizontal="left" indent="1"/>
      <protection hidden="1"/>
    </xf>
    <xf numFmtId="168" fontId="12" fillId="0" borderId="18" xfId="235" applyNumberFormat="1" applyFont="1" applyFill="1" applyBorder="1" applyAlignment="1" applyProtection="1">
      <alignment vertical="center" shrinkToFit="1"/>
      <protection hidden="1"/>
    </xf>
    <xf numFmtId="0" fontId="21" fillId="0" borderId="18" xfId="0" applyFont="1" applyBorder="1" applyAlignment="1" applyProtection="1">
      <alignment horizontal="left" vertical="center" wrapText="1" indent="1"/>
      <protection hidden="1"/>
    </xf>
    <xf numFmtId="0" fontId="13" fillId="0" borderId="18" xfId="0" applyFont="1" applyBorder="1" applyAlignment="1" applyProtection="1">
      <alignment horizontal="left" vertical="center" indent="1"/>
      <protection hidden="1"/>
    </xf>
    <xf numFmtId="0" fontId="12" fillId="0" borderId="76" xfId="0" applyFont="1" applyBorder="1" applyAlignment="1" applyProtection="1">
      <alignment horizontal="center" vertical="center"/>
      <protection hidden="1"/>
    </xf>
    <xf numFmtId="0" fontId="12" fillId="0" borderId="70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2" borderId="1" xfId="0" applyFont="1" applyFill="1" applyBorder="1" applyAlignment="1" applyProtection="1">
      <alignment horizontal="center" vertical="center"/>
      <protection hidden="1"/>
    </xf>
    <xf numFmtId="14" fontId="14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" fontId="4" fillId="6" borderId="47" xfId="0" applyNumberFormat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8" fillId="8" borderId="57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17" fontId="4" fillId="6" borderId="50" xfId="0" applyNumberFormat="1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17" fontId="8" fillId="2" borderId="50" xfId="0" applyNumberFormat="1" applyFont="1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/>
    </xf>
    <xf numFmtId="17" fontId="8" fillId="6" borderId="50" xfId="0" applyNumberFormat="1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1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8" borderId="51" xfId="0" applyFont="1" applyFill="1" applyBorder="1" applyAlignment="1">
      <alignment horizontal="left" vertical="center"/>
    </xf>
    <xf numFmtId="0" fontId="4" fillId="0" borderId="5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left" vertical="center"/>
    </xf>
    <xf numFmtId="0" fontId="4" fillId="13" borderId="17" xfId="0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8" fillId="22" borderId="18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left" vertical="center"/>
    </xf>
    <xf numFmtId="0" fontId="4" fillId="8" borderId="51" xfId="0" applyFont="1" applyFill="1" applyBorder="1" applyAlignment="1">
      <alignment horizontal="left" vertical="center" wrapText="1"/>
    </xf>
    <xf numFmtId="0" fontId="8" fillId="4" borderId="51" xfId="0" applyFont="1" applyFill="1" applyBorder="1" applyAlignment="1">
      <alignment horizontal="left" vertical="center" wrapText="1"/>
    </xf>
    <xf numFmtId="0" fontId="8" fillId="8" borderId="51" xfId="0" applyFont="1" applyFill="1" applyBorder="1" applyAlignment="1">
      <alignment horizontal="left" vertical="center" wrapText="1"/>
    </xf>
    <xf numFmtId="0" fontId="4" fillId="9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left" vertical="center" wrapText="1"/>
    </xf>
    <xf numFmtId="0" fontId="4" fillId="18" borderId="17" xfId="0" applyFont="1" applyFill="1" applyBorder="1" applyAlignment="1">
      <alignment horizontal="center" vertical="center"/>
    </xf>
    <xf numFmtId="17" fontId="4" fillId="2" borderId="50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8" fillId="8" borderId="51" xfId="0" applyFont="1" applyFill="1" applyBorder="1" applyAlignment="1">
      <alignment horizontal="left" vertical="center"/>
    </xf>
    <xf numFmtId="0" fontId="4" fillId="16" borderId="17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8" borderId="51" xfId="0" applyFont="1" applyFill="1" applyBorder="1" applyAlignment="1">
      <alignment horizontal="center" vertical="center"/>
    </xf>
    <xf numFmtId="0" fontId="8" fillId="20" borderId="18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14" borderId="1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0" fontId="8" fillId="21" borderId="18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right" vertical="center"/>
    </xf>
    <xf numFmtId="42" fontId="5" fillId="0" borderId="0" xfId="234" applyFont="1" applyFill="1" applyBorder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0" fontId="9" fillId="24" borderId="45" xfId="0" applyFont="1" applyFill="1" applyBorder="1" applyAlignment="1">
      <alignment horizontal="center" vertical="center" wrapText="1" shrinkToFit="1"/>
    </xf>
    <xf numFmtId="0" fontId="9" fillId="24" borderId="43" xfId="0" applyFont="1" applyFill="1" applyBorder="1" applyAlignment="1">
      <alignment horizontal="center" vertical="center" wrapText="1" shrinkToFit="1"/>
    </xf>
    <xf numFmtId="0" fontId="9" fillId="24" borderId="44" xfId="0" applyFont="1" applyFill="1" applyBorder="1" applyAlignment="1">
      <alignment horizontal="center" vertical="center" wrapText="1" shrinkToFit="1"/>
    </xf>
    <xf numFmtId="0" fontId="9" fillId="24" borderId="46" xfId="0" applyFont="1" applyFill="1" applyBorder="1" applyAlignment="1">
      <alignment horizontal="center" vertical="center" wrapText="1" shrinkToFit="1"/>
    </xf>
    <xf numFmtId="0" fontId="9" fillId="27" borderId="55" xfId="0" applyFont="1" applyFill="1" applyBorder="1" applyAlignment="1">
      <alignment horizontal="center" vertical="center" wrapText="1" shrinkToFit="1"/>
    </xf>
    <xf numFmtId="0" fontId="9" fillId="27" borderId="15" xfId="0" applyFont="1" applyFill="1" applyBorder="1" applyAlignment="1">
      <alignment horizontal="center" vertical="center" wrapText="1" shrinkToFit="1"/>
    </xf>
    <xf numFmtId="0" fontId="9" fillId="27" borderId="56" xfId="0" applyFont="1" applyFill="1" applyBorder="1" applyAlignment="1">
      <alignment horizontal="center" vertical="top" wrapText="1" shrinkToFit="1"/>
    </xf>
    <xf numFmtId="0" fontId="9" fillId="27" borderId="16" xfId="0" applyFont="1" applyFill="1" applyBorder="1" applyAlignment="1">
      <alignment horizontal="center" vertical="center" wrapText="1" shrinkToFit="1"/>
    </xf>
    <xf numFmtId="167" fontId="0" fillId="0" borderId="0" xfId="0" applyNumberFormat="1" applyProtection="1">
      <protection hidden="1"/>
    </xf>
    <xf numFmtId="0" fontId="4" fillId="0" borderId="12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/>
      <protection hidden="1"/>
    </xf>
    <xf numFmtId="167" fontId="7" fillId="0" borderId="48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/>
    </xf>
    <xf numFmtId="3" fontId="7" fillId="0" borderId="62" xfId="233" applyNumberFormat="1" applyFont="1" applyFill="1" applyBorder="1" applyAlignment="1" applyProtection="1">
      <alignment horizontal="center" vertical="center"/>
      <protection hidden="1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18" xfId="0" applyFont="1" applyBorder="1" applyAlignment="1" applyProtection="1">
      <alignment horizontal="left" vertical="center"/>
      <protection hidden="1"/>
    </xf>
    <xf numFmtId="164" fontId="7" fillId="0" borderId="48" xfId="0" applyNumberFormat="1" applyFont="1" applyBorder="1" applyAlignment="1" applyProtection="1">
      <alignment horizontal="center" vertical="center"/>
      <protection hidden="1"/>
    </xf>
    <xf numFmtId="14" fontId="7" fillId="0" borderId="18" xfId="0" applyNumberFormat="1" applyFont="1" applyBorder="1" applyAlignment="1" applyProtection="1">
      <alignment horizontal="center" vertical="center" wrapText="1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164" fontId="7" fillId="0" borderId="40" xfId="0" applyNumberFormat="1" applyFont="1" applyBorder="1" applyAlignment="1" applyProtection="1">
      <alignment horizontal="center" vertical="center"/>
      <protection hidden="1"/>
    </xf>
    <xf numFmtId="0" fontId="7" fillId="0" borderId="22" xfId="0" applyFont="1" applyBorder="1" applyAlignment="1" applyProtection="1">
      <alignment horizontal="center" vertical="center"/>
      <protection hidden="1"/>
    </xf>
    <xf numFmtId="0" fontId="7" fillId="0" borderId="63" xfId="0" applyFont="1" applyBorder="1" applyAlignment="1" applyProtection="1">
      <alignment horizontal="center" vertical="center"/>
      <protection hidden="1"/>
    </xf>
    <xf numFmtId="0" fontId="7" fillId="0" borderId="20" xfId="0" applyFont="1" applyBorder="1" applyAlignment="1" applyProtection="1">
      <alignment horizontal="center" vertical="center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53" xfId="0" applyFont="1" applyBorder="1" applyAlignment="1" applyProtection="1">
      <alignment horizontal="center" vertical="center" wrapText="1"/>
      <protection hidden="1"/>
    </xf>
    <xf numFmtId="164" fontId="7" fillId="0" borderId="63" xfId="0" applyNumberFormat="1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48" xfId="0" applyFont="1" applyBorder="1" applyAlignment="1" applyProtection="1">
      <alignment horizontal="center" vertical="center" wrapText="1"/>
      <protection hidden="1"/>
    </xf>
    <xf numFmtId="0" fontId="7" fillId="0" borderId="53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0" fontId="7" fillId="0" borderId="40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left" vertical="center"/>
      <protection hidden="1"/>
    </xf>
    <xf numFmtId="0" fontId="7" fillId="0" borderId="40" xfId="0" applyFont="1" applyBorder="1" applyAlignment="1" applyProtection="1">
      <alignment horizontal="center" vertical="center"/>
      <protection hidden="1"/>
    </xf>
    <xf numFmtId="0" fontId="7" fillId="0" borderId="61" xfId="0" applyFont="1" applyBorder="1" applyAlignment="1" applyProtection="1">
      <alignment horizontal="left" vertical="center" wrapText="1"/>
      <protection hidden="1"/>
    </xf>
    <xf numFmtId="0" fontId="7" fillId="0" borderId="22" xfId="0" applyFont="1" applyBorder="1" applyAlignment="1" applyProtection="1">
      <alignment horizontal="left" vertical="center" indent="1"/>
      <protection hidden="1"/>
    </xf>
    <xf numFmtId="164" fontId="7" fillId="0" borderId="53" xfId="0" applyNumberFormat="1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left" vertical="center" indent="1"/>
      <protection hidden="1"/>
    </xf>
    <xf numFmtId="0" fontId="7" fillId="0" borderId="20" xfId="0" applyFont="1" applyBorder="1" applyAlignment="1" applyProtection="1">
      <alignment horizontal="left" vertical="center" indent="1"/>
      <protection hidden="1"/>
    </xf>
    <xf numFmtId="164" fontId="7" fillId="0" borderId="18" xfId="0" applyNumberFormat="1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14" fontId="7" fillId="0" borderId="18" xfId="0" applyNumberFormat="1" applyFont="1" applyBorder="1" applyAlignment="1" applyProtection="1">
      <alignment horizontal="center" vertical="center"/>
      <protection hidden="1"/>
    </xf>
    <xf numFmtId="167" fontId="7" fillId="0" borderId="0" xfId="235" applyNumberFormat="1" applyFont="1" applyBorder="1" applyAlignment="1" applyProtection="1">
      <alignment horizontal="center" vertical="center"/>
      <protection hidden="1"/>
    </xf>
    <xf numFmtId="0" fontId="4" fillId="0" borderId="48" xfId="0" applyFont="1" applyBorder="1" applyAlignment="1" applyProtection="1">
      <alignment vertical="center"/>
      <protection hidden="1"/>
    </xf>
    <xf numFmtId="0" fontId="28" fillId="24" borderId="22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8" fontId="7" fillId="0" borderId="0" xfId="235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167" fontId="7" fillId="0" borderId="53" xfId="0" applyNumberFormat="1" applyFont="1" applyBorder="1" applyAlignment="1" applyProtection="1">
      <alignment horizontal="center" vertical="center"/>
      <protection hidden="1"/>
    </xf>
    <xf numFmtId="168" fontId="7" fillId="0" borderId="18" xfId="235" applyNumberFormat="1" applyFont="1" applyFill="1" applyBorder="1" applyAlignment="1" applyProtection="1">
      <alignment horizontal="center" vertical="center"/>
      <protection hidden="1"/>
    </xf>
    <xf numFmtId="167" fontId="7" fillId="0" borderId="18" xfId="0" applyNumberFormat="1" applyFont="1" applyBorder="1" applyAlignment="1" applyProtection="1">
      <alignment horizontal="center" vertical="center"/>
      <protection hidden="1"/>
    </xf>
    <xf numFmtId="168" fontId="6" fillId="2" borderId="18" xfId="235" applyNumberFormat="1" applyFont="1" applyFill="1" applyBorder="1" applyAlignment="1" applyProtection="1">
      <alignment horizontal="center" vertical="center"/>
      <protection hidden="1"/>
    </xf>
    <xf numFmtId="167" fontId="6" fillId="2" borderId="18" xfId="0" applyNumberFormat="1" applyFont="1" applyFill="1" applyBorder="1" applyAlignment="1" applyProtection="1">
      <alignment horizontal="center" vertical="center"/>
      <protection hidden="1"/>
    </xf>
    <xf numFmtId="168" fontId="0" fillId="2" borderId="18" xfId="235" applyNumberFormat="1" applyFont="1" applyFill="1" applyBorder="1" applyAlignment="1" applyProtection="1">
      <alignment horizontal="center" vertical="center"/>
      <protection hidden="1"/>
    </xf>
    <xf numFmtId="167" fontId="0" fillId="0" borderId="0" xfId="0" applyNumberFormat="1" applyAlignment="1" applyProtection="1">
      <alignment horizontal="center" vertical="center"/>
      <protection hidden="1"/>
    </xf>
    <xf numFmtId="0" fontId="6" fillId="0" borderId="60" xfId="0" applyFont="1" applyBorder="1" applyAlignment="1" applyProtection="1">
      <alignment horizontal="center" vertical="center"/>
      <protection hidden="1"/>
    </xf>
    <xf numFmtId="14" fontId="7" fillId="0" borderId="20" xfId="0" applyNumberFormat="1" applyFont="1" applyBorder="1" applyAlignment="1" applyProtection="1">
      <alignment horizontal="center" vertical="center" wrapText="1"/>
      <protection hidden="1"/>
    </xf>
    <xf numFmtId="0" fontId="4" fillId="0" borderId="20" xfId="0" applyFont="1" applyBorder="1" applyAlignment="1" applyProtection="1">
      <alignment vertical="center"/>
      <protection hidden="1"/>
    </xf>
    <xf numFmtId="17" fontId="5" fillId="0" borderId="0" xfId="0" applyNumberFormat="1" applyFont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168" fontId="19" fillId="0" borderId="0" xfId="0" applyNumberFormat="1" applyFont="1" applyAlignment="1" applyProtection="1">
      <alignment vertical="center"/>
      <protection hidden="1"/>
    </xf>
    <xf numFmtId="166" fontId="19" fillId="0" borderId="0" xfId="0" applyNumberFormat="1" applyFont="1" applyAlignment="1" applyProtection="1">
      <alignment vertical="center"/>
      <protection hidden="1"/>
    </xf>
    <xf numFmtId="3" fontId="7" fillId="0" borderId="20" xfId="233" applyNumberFormat="1" applyFont="1" applyFill="1" applyBorder="1" applyAlignment="1" applyProtection="1">
      <alignment horizontal="center" vertical="center"/>
      <protection hidden="1"/>
    </xf>
    <xf numFmtId="0" fontId="31" fillId="24" borderId="18" xfId="0" applyFont="1" applyFill="1" applyBorder="1" applyAlignment="1" applyProtection="1">
      <alignment horizontal="center" vertical="center" wrapText="1"/>
      <protection hidden="1"/>
    </xf>
    <xf numFmtId="0" fontId="31" fillId="24" borderId="64" xfId="0" applyFont="1" applyFill="1" applyBorder="1" applyAlignment="1" applyProtection="1">
      <alignment horizontal="center" vertical="center" wrapText="1"/>
      <protection hidden="1"/>
    </xf>
    <xf numFmtId="0" fontId="31" fillId="24" borderId="22" xfId="0" applyFont="1" applyFill="1" applyBorder="1" applyAlignment="1" applyProtection="1">
      <alignment horizontal="center" vertical="center" wrapText="1"/>
      <protection hidden="1"/>
    </xf>
    <xf numFmtId="0" fontId="14" fillId="24" borderId="22" xfId="0" applyFont="1" applyFill="1" applyBorder="1" applyAlignment="1" applyProtection="1">
      <alignment horizontal="center" vertical="center" wrapText="1"/>
      <protection hidden="1"/>
    </xf>
    <xf numFmtId="0" fontId="14" fillId="24" borderId="63" xfId="0" applyFont="1" applyFill="1" applyBorder="1" applyAlignment="1" applyProtection="1">
      <alignment horizontal="center" vertical="center" wrapText="1"/>
      <protection hidden="1"/>
    </xf>
    <xf numFmtId="0" fontId="31" fillId="24" borderId="63" xfId="0" applyFont="1" applyFill="1" applyBorder="1" applyAlignment="1" applyProtection="1">
      <alignment horizontal="center" vertical="center" wrapText="1"/>
      <protection hidden="1"/>
    </xf>
    <xf numFmtId="0" fontId="7" fillId="0" borderId="81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164" fontId="7" fillId="0" borderId="48" xfId="0" applyNumberFormat="1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164" fontId="7" fillId="0" borderId="78" xfId="0" applyNumberFormat="1" applyFont="1" applyBorder="1" applyAlignment="1">
      <alignment horizontal="center" vertical="center"/>
    </xf>
    <xf numFmtId="168" fontId="27" fillId="2" borderId="18" xfId="235" applyNumberFormat="1" applyFont="1" applyFill="1" applyBorder="1" applyAlignment="1" applyProtection="1">
      <alignment horizontal="center" vertical="center"/>
      <protection hidden="1"/>
    </xf>
    <xf numFmtId="167" fontId="27" fillId="2" borderId="18" xfId="0" applyNumberFormat="1" applyFont="1" applyFill="1" applyBorder="1" applyAlignment="1" applyProtection="1">
      <alignment horizontal="center" vertical="center"/>
      <protection hidden="1"/>
    </xf>
    <xf numFmtId="0" fontId="4" fillId="0" borderId="53" xfId="0" applyFont="1" applyBorder="1" applyAlignment="1" applyProtection="1">
      <alignment vertical="center"/>
      <protection hidden="1"/>
    </xf>
    <xf numFmtId="0" fontId="7" fillId="0" borderId="62" xfId="0" applyFont="1" applyBorder="1" applyAlignment="1" applyProtection="1">
      <alignment horizontal="left" vertical="center" wrapText="1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25" fillId="28" borderId="18" xfId="0" applyFont="1" applyFill="1" applyBorder="1" applyAlignment="1" applyProtection="1">
      <alignment horizontal="center" vertical="center" wrapText="1"/>
      <protection hidden="1"/>
    </xf>
    <xf numFmtId="0" fontId="25" fillId="14" borderId="18" xfId="0" applyFont="1" applyFill="1" applyBorder="1" applyAlignment="1" applyProtection="1">
      <alignment horizontal="center" vertical="center" wrapText="1"/>
      <protection hidden="1"/>
    </xf>
    <xf numFmtId="168" fontId="5" fillId="2" borderId="18" xfId="235" applyNumberFormat="1" applyFont="1" applyFill="1" applyBorder="1" applyAlignment="1" applyProtection="1">
      <alignment horizontal="center" vertical="center"/>
      <protection hidden="1"/>
    </xf>
    <xf numFmtId="167" fontId="5" fillId="2" borderId="18" xfId="0" applyNumberFormat="1" applyFont="1" applyFill="1" applyBorder="1" applyAlignment="1" applyProtection="1">
      <alignment horizontal="center" vertical="center"/>
      <protection hidden="1"/>
    </xf>
    <xf numFmtId="0" fontId="30" fillId="0" borderId="0" xfId="0" applyFont="1"/>
    <xf numFmtId="167" fontId="6" fillId="2" borderId="85" xfId="0" applyNumberFormat="1" applyFont="1" applyFill="1" applyBorder="1" applyAlignment="1" applyProtection="1">
      <alignment horizontal="center" vertical="center"/>
      <protection hidden="1"/>
    </xf>
    <xf numFmtId="0" fontId="6" fillId="0" borderId="82" xfId="0" applyFont="1" applyBorder="1" applyAlignment="1" applyProtection="1">
      <alignment horizontal="center" vertical="center"/>
      <protection hidden="1"/>
    </xf>
    <xf numFmtId="167" fontId="7" fillId="0" borderId="85" xfId="0" applyNumberFormat="1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hidden="1"/>
    </xf>
    <xf numFmtId="0" fontId="25" fillId="24" borderId="82" xfId="0" applyFont="1" applyFill="1" applyBorder="1" applyAlignment="1" applyProtection="1">
      <alignment horizontal="center" vertical="center" wrapText="1"/>
      <protection hidden="1"/>
    </xf>
    <xf numFmtId="0" fontId="25" fillId="24" borderId="86" xfId="0" applyFont="1" applyFill="1" applyBorder="1" applyAlignment="1" applyProtection="1">
      <alignment horizontal="center" vertical="center" wrapText="1"/>
      <protection hidden="1"/>
    </xf>
    <xf numFmtId="0" fontId="6" fillId="0" borderId="87" xfId="0" applyFont="1" applyBorder="1" applyAlignment="1" applyProtection="1">
      <alignment horizontal="center" vertical="center"/>
      <protection hidden="1"/>
    </xf>
    <xf numFmtId="0" fontId="6" fillId="0" borderId="83" xfId="0" applyFont="1" applyBorder="1" applyAlignment="1" applyProtection="1">
      <alignment horizontal="center" vertical="center"/>
      <protection hidden="1"/>
    </xf>
    <xf numFmtId="168" fontId="7" fillId="0" borderId="27" xfId="235" applyNumberFormat="1" applyFont="1" applyFill="1" applyBorder="1" applyAlignment="1" applyProtection="1">
      <alignment horizontal="center" vertical="center"/>
      <protection hidden="1"/>
    </xf>
    <xf numFmtId="167" fontId="7" fillId="0" borderId="14" xfId="0" applyNumberFormat="1" applyFont="1" applyBorder="1" applyAlignment="1" applyProtection="1">
      <alignment horizontal="center" vertical="center"/>
      <protection hidden="1"/>
    </xf>
    <xf numFmtId="0" fontId="0" fillId="0" borderId="41" xfId="0" applyBorder="1"/>
    <xf numFmtId="167" fontId="7" fillId="0" borderId="0" xfId="0" applyNumberFormat="1" applyFont="1" applyAlignment="1" applyProtection="1">
      <alignment horizontal="center" vertical="center"/>
      <protection hidden="1"/>
    </xf>
    <xf numFmtId="167" fontId="7" fillId="0" borderId="0" xfId="235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14" fontId="17" fillId="0" borderId="0" xfId="0" applyNumberFormat="1" applyFont="1" applyAlignment="1" applyProtection="1">
      <alignment horizontal="center" vertical="center"/>
      <protection hidden="1"/>
    </xf>
    <xf numFmtId="0" fontId="26" fillId="28" borderId="18" xfId="0" applyFont="1" applyFill="1" applyBorder="1" applyAlignment="1" applyProtection="1">
      <alignment horizontal="center" vertical="center" wrapText="1"/>
      <protection hidden="1"/>
    </xf>
    <xf numFmtId="0" fontId="28" fillId="28" borderId="18" xfId="0" applyFont="1" applyFill="1" applyBorder="1" applyAlignment="1" applyProtection="1">
      <alignment horizontal="center" vertical="center" wrapText="1"/>
      <protection hidden="1"/>
    </xf>
    <xf numFmtId="167" fontId="7" fillId="0" borderId="18" xfId="235" applyNumberFormat="1" applyFont="1" applyFill="1" applyBorder="1" applyAlignment="1" applyProtection="1">
      <alignment horizontal="center" vertical="center"/>
      <protection hidden="1"/>
    </xf>
    <xf numFmtId="0" fontId="26" fillId="14" borderId="18" xfId="0" applyFont="1" applyFill="1" applyBorder="1" applyAlignment="1" applyProtection="1">
      <alignment horizontal="center" vertical="center" wrapText="1"/>
      <protection hidden="1"/>
    </xf>
    <xf numFmtId="0" fontId="28" fillId="14" borderId="18" xfId="0" applyFont="1" applyFill="1" applyBorder="1" applyAlignment="1" applyProtection="1">
      <alignment horizontal="center" vertical="center" wrapText="1"/>
      <protection hidden="1"/>
    </xf>
    <xf numFmtId="167" fontId="0" fillId="2" borderId="18" xfId="0" applyNumberFormat="1" applyFill="1" applyBorder="1" applyAlignment="1" applyProtection="1">
      <alignment horizontal="center" vertical="center"/>
      <protection hidden="1"/>
    </xf>
    <xf numFmtId="0" fontId="5" fillId="0" borderId="88" xfId="0" applyFont="1" applyBorder="1" applyAlignment="1" applyProtection="1">
      <alignment horizontal="center" vertical="center"/>
      <protection hidden="1"/>
    </xf>
    <xf numFmtId="0" fontId="7" fillId="0" borderId="61" xfId="0" applyFont="1" applyBorder="1" applyAlignment="1" applyProtection="1">
      <alignment horizontal="center" vertical="center"/>
      <protection hidden="1"/>
    </xf>
    <xf numFmtId="9" fontId="7" fillId="0" borderId="0" xfId="0" applyNumberFormat="1" applyFont="1" applyAlignment="1" applyProtection="1">
      <alignment horizontal="center" vertical="center"/>
      <protection hidden="1"/>
    </xf>
    <xf numFmtId="0" fontId="34" fillId="2" borderId="18" xfId="0" applyFont="1" applyFill="1" applyBorder="1" applyAlignment="1" applyProtection="1">
      <alignment horizontal="center" vertical="center"/>
      <protection hidden="1"/>
    </xf>
    <xf numFmtId="167" fontId="34" fillId="0" borderId="18" xfId="235" applyNumberFormat="1" applyFont="1" applyBorder="1" applyAlignment="1" applyProtection="1">
      <alignment horizontal="center" vertical="center"/>
      <protection hidden="1"/>
    </xf>
    <xf numFmtId="0" fontId="7" fillId="0" borderId="48" xfId="0" applyFont="1" applyBorder="1" applyAlignment="1" applyProtection="1">
      <alignment horizontal="left" vertical="center" indent="1"/>
      <protection hidden="1"/>
    </xf>
    <xf numFmtId="0" fontId="7" fillId="0" borderId="53" xfId="0" applyFont="1" applyBorder="1" applyAlignment="1" applyProtection="1">
      <alignment horizontal="left" vertical="center" indent="1"/>
      <protection hidden="1"/>
    </xf>
    <xf numFmtId="0" fontId="24" fillId="24" borderId="53" xfId="0" applyFont="1" applyFill="1" applyBorder="1" applyAlignment="1" applyProtection="1">
      <alignment horizontal="center" vertical="center"/>
      <protection hidden="1"/>
    </xf>
    <xf numFmtId="0" fontId="24" fillId="24" borderId="60" xfId="0" applyFont="1" applyFill="1" applyBorder="1" applyAlignment="1" applyProtection="1">
      <alignment horizontal="center" vertical="center"/>
      <protection hidden="1"/>
    </xf>
    <xf numFmtId="0" fontId="24" fillId="24" borderId="62" xfId="0" applyFont="1" applyFill="1" applyBorder="1" applyAlignment="1" applyProtection="1">
      <alignment horizontal="center" vertical="center"/>
      <protection hidden="1"/>
    </xf>
    <xf numFmtId="0" fontId="16" fillId="24" borderId="40" xfId="0" applyFont="1" applyFill="1" applyBorder="1" applyAlignment="1" applyProtection="1">
      <alignment horizontal="center" vertical="center"/>
      <protection hidden="1"/>
    </xf>
    <xf numFmtId="0" fontId="16" fillId="24" borderId="0" xfId="0" applyFont="1" applyFill="1" applyAlignment="1" applyProtection="1">
      <alignment horizontal="center" vertical="center"/>
      <protection hidden="1"/>
    </xf>
    <xf numFmtId="0" fontId="24" fillId="24" borderId="48" xfId="0" applyFont="1" applyFill="1" applyBorder="1" applyAlignment="1" applyProtection="1">
      <alignment horizontal="center" vertical="center"/>
      <protection hidden="1"/>
    </xf>
    <xf numFmtId="0" fontId="24" fillId="24" borderId="58" xfId="0" applyFont="1" applyFill="1" applyBorder="1" applyAlignment="1" applyProtection="1">
      <alignment horizontal="center" vertical="center"/>
      <protection hidden="1"/>
    </xf>
    <xf numFmtId="0" fontId="24" fillId="24" borderId="61" xfId="0" applyFont="1" applyFill="1" applyBorder="1" applyAlignment="1" applyProtection="1">
      <alignment horizontal="center" vertical="center"/>
      <protection hidden="1"/>
    </xf>
    <xf numFmtId="0" fontId="14" fillId="24" borderId="0" xfId="0" applyFont="1" applyFill="1" applyAlignment="1" applyProtection="1">
      <alignment horizontal="center" vertical="center"/>
      <protection hidden="1"/>
    </xf>
    <xf numFmtId="0" fontId="14" fillId="24" borderId="7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16" fillId="24" borderId="48" xfId="0" applyFont="1" applyFill="1" applyBorder="1" applyAlignment="1" applyProtection="1">
      <alignment horizontal="center" vertical="center"/>
      <protection hidden="1"/>
    </xf>
    <xf numFmtId="0" fontId="16" fillId="24" borderId="58" xfId="0" applyFont="1" applyFill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7" fillId="0" borderId="18" xfId="0" applyFont="1" applyBorder="1" applyAlignment="1">
      <alignment horizontal="center" vertical="center"/>
    </xf>
    <xf numFmtId="0" fontId="29" fillId="28" borderId="18" xfId="0" applyFont="1" applyFill="1" applyBorder="1" applyAlignment="1" applyProtection="1">
      <alignment horizontal="center" vertical="center"/>
      <protection hidden="1"/>
    </xf>
    <xf numFmtId="0" fontId="26" fillId="24" borderId="18" xfId="0" applyFont="1" applyFill="1" applyBorder="1" applyAlignment="1" applyProtection="1">
      <alignment horizontal="center" vertical="center"/>
      <protection hidden="1"/>
    </xf>
    <xf numFmtId="0" fontId="29" fillId="24" borderId="74" xfId="0" applyFont="1" applyFill="1" applyBorder="1" applyAlignment="1" applyProtection="1">
      <alignment horizontal="center" vertical="center"/>
      <protection hidden="1"/>
    </xf>
    <xf numFmtId="0" fontId="29" fillId="24" borderId="58" xfId="0" applyFont="1" applyFill="1" applyBorder="1" applyAlignment="1" applyProtection="1">
      <alignment horizontal="center" vertical="center"/>
      <protection hidden="1"/>
    </xf>
    <xf numFmtId="0" fontId="29" fillId="24" borderId="48" xfId="0" applyFont="1" applyFill="1" applyBorder="1" applyAlignment="1" applyProtection="1">
      <alignment horizontal="center" vertical="center"/>
      <protection hidden="1"/>
    </xf>
    <xf numFmtId="0" fontId="29" fillId="24" borderId="84" xfId="0" applyFont="1" applyFill="1" applyBorder="1" applyAlignment="1" applyProtection="1">
      <alignment horizontal="center" vertical="center"/>
      <protection hidden="1"/>
    </xf>
    <xf numFmtId="0" fontId="6" fillId="2" borderId="48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29" fillId="24" borderId="61" xfId="0" applyFont="1" applyFill="1" applyBorder="1" applyAlignment="1" applyProtection="1">
      <alignment horizontal="center" vertical="center"/>
      <protection hidden="1"/>
    </xf>
    <xf numFmtId="0" fontId="29" fillId="14" borderId="18" xfId="0" applyFont="1" applyFill="1" applyBorder="1" applyAlignment="1" applyProtection="1">
      <alignment horizontal="center" vertical="center"/>
      <protection hidden="1"/>
    </xf>
    <xf numFmtId="14" fontId="33" fillId="26" borderId="18" xfId="0" applyNumberFormat="1" applyFont="1" applyFill="1" applyBorder="1" applyAlignment="1" applyProtection="1">
      <alignment horizontal="center" vertical="center"/>
      <protection hidden="1"/>
    </xf>
    <xf numFmtId="0" fontId="14" fillId="24" borderId="1" xfId="0" applyFont="1" applyFill="1" applyBorder="1" applyAlignment="1" applyProtection="1">
      <alignment horizontal="center" vertical="center"/>
      <protection hidden="1"/>
    </xf>
    <xf numFmtId="0" fontId="14" fillId="24" borderId="18" xfId="0" applyFont="1" applyFill="1" applyBorder="1" applyAlignment="1">
      <alignment horizontal="center" vertical="center"/>
    </xf>
    <xf numFmtId="0" fontId="14" fillId="24" borderId="18" xfId="0" applyFont="1" applyFill="1" applyBorder="1" applyAlignment="1">
      <alignment horizontal="center" vertical="center" wrapText="1"/>
    </xf>
    <xf numFmtId="0" fontId="14" fillId="24" borderId="0" xfId="0" applyFont="1" applyFill="1" applyAlignment="1">
      <alignment horizontal="center" vertical="center"/>
    </xf>
    <xf numFmtId="0" fontId="14" fillId="24" borderId="6" xfId="0" applyFont="1" applyFill="1" applyBorder="1" applyAlignment="1">
      <alignment horizontal="center" vertical="center"/>
    </xf>
    <xf numFmtId="0" fontId="14" fillId="24" borderId="7" xfId="0" applyFont="1" applyFill="1" applyBorder="1" applyAlignment="1">
      <alignment horizontal="center" vertical="center"/>
    </xf>
    <xf numFmtId="0" fontId="14" fillId="24" borderId="65" xfId="0" applyFont="1" applyFill="1" applyBorder="1" applyAlignment="1">
      <alignment horizontal="center" vertical="center"/>
    </xf>
    <xf numFmtId="0" fontId="14" fillId="24" borderId="8" xfId="0" applyFont="1" applyFill="1" applyBorder="1" applyAlignment="1">
      <alignment horizontal="center" vertical="center"/>
    </xf>
    <xf numFmtId="0" fontId="14" fillId="24" borderId="5" xfId="0" applyFont="1" applyFill="1" applyBorder="1" applyAlignment="1">
      <alignment horizontal="center" vertical="center"/>
    </xf>
    <xf numFmtId="0" fontId="14" fillId="24" borderId="66" xfId="0" applyFont="1" applyFill="1" applyBorder="1" applyAlignment="1">
      <alignment horizontal="center" vertical="center"/>
    </xf>
    <xf numFmtId="0" fontId="14" fillId="24" borderId="68" xfId="0" applyFont="1" applyFill="1" applyBorder="1" applyAlignment="1">
      <alignment horizontal="center" vertical="center"/>
    </xf>
    <xf numFmtId="0" fontId="14" fillId="24" borderId="69" xfId="0" applyFont="1" applyFill="1" applyBorder="1" applyAlignment="1">
      <alignment horizontal="center" vertical="center"/>
    </xf>
    <xf numFmtId="0" fontId="14" fillId="24" borderId="31" xfId="0" applyFont="1" applyFill="1" applyBorder="1" applyAlignment="1">
      <alignment horizontal="center" vertical="center"/>
    </xf>
    <xf numFmtId="0" fontId="14" fillId="24" borderId="30" xfId="0" applyFont="1" applyFill="1" applyBorder="1" applyAlignment="1">
      <alignment horizontal="center" vertical="center"/>
    </xf>
    <xf numFmtId="0" fontId="14" fillId="24" borderId="54" xfId="0" applyFont="1" applyFill="1" applyBorder="1" applyAlignment="1">
      <alignment horizontal="center" vertical="center"/>
    </xf>
    <xf numFmtId="0" fontId="14" fillId="24" borderId="67" xfId="0" applyFont="1" applyFill="1" applyBorder="1" applyAlignment="1">
      <alignment horizontal="center" vertical="center"/>
    </xf>
    <xf numFmtId="0" fontId="14" fillId="24" borderId="25" xfId="0" applyFont="1" applyFill="1" applyBorder="1" applyAlignment="1">
      <alignment horizontal="center" vertical="center"/>
    </xf>
    <xf numFmtId="0" fontId="14" fillId="24" borderId="49" xfId="0" applyFont="1" applyFill="1" applyBorder="1" applyAlignment="1">
      <alignment horizontal="center" vertical="center"/>
    </xf>
    <xf numFmtId="0" fontId="14" fillId="24" borderId="60" xfId="0" applyFont="1" applyFill="1" applyBorder="1" applyAlignment="1">
      <alignment horizontal="center" vertical="center"/>
    </xf>
    <xf numFmtId="0" fontId="14" fillId="24" borderId="58" xfId="0" applyFont="1" applyFill="1" applyBorder="1" applyAlignment="1">
      <alignment horizontal="center" vertical="center"/>
    </xf>
    <xf numFmtId="0" fontId="14" fillId="24" borderId="62" xfId="0" applyFont="1" applyFill="1" applyBorder="1" applyAlignment="1">
      <alignment horizontal="center" vertical="center"/>
    </xf>
    <xf numFmtId="0" fontId="9" fillId="24" borderId="31" xfId="0" applyFont="1" applyFill="1" applyBorder="1" applyAlignment="1">
      <alignment horizontal="center" vertical="center"/>
    </xf>
    <xf numFmtId="0" fontId="9" fillId="24" borderId="30" xfId="0" applyFont="1" applyFill="1" applyBorder="1" applyAlignment="1">
      <alignment horizontal="center" vertical="center"/>
    </xf>
    <xf numFmtId="0" fontId="9" fillId="24" borderId="32" xfId="0" applyFont="1" applyFill="1" applyBorder="1" applyAlignment="1">
      <alignment horizontal="center" vertical="center"/>
    </xf>
    <xf numFmtId="0" fontId="9" fillId="24" borderId="36" xfId="0" applyFont="1" applyFill="1" applyBorder="1" applyAlignment="1">
      <alignment horizontal="center" vertical="center"/>
    </xf>
    <xf numFmtId="0" fontId="9" fillId="24" borderId="37" xfId="0" applyFont="1" applyFill="1" applyBorder="1" applyAlignment="1">
      <alignment horizontal="center" vertical="center"/>
    </xf>
    <xf numFmtId="0" fontId="9" fillId="24" borderId="38" xfId="0" applyFont="1" applyFill="1" applyBorder="1" applyAlignment="1">
      <alignment horizontal="center" vertical="center"/>
    </xf>
    <xf numFmtId="0" fontId="9" fillId="24" borderId="33" xfId="0" applyFont="1" applyFill="1" applyBorder="1" applyAlignment="1">
      <alignment horizontal="center" vertical="center"/>
    </xf>
    <xf numFmtId="0" fontId="9" fillId="24" borderId="34" xfId="0" applyFont="1" applyFill="1" applyBorder="1" applyAlignment="1">
      <alignment horizontal="center" vertical="center"/>
    </xf>
    <xf numFmtId="0" fontId="9" fillId="24" borderId="35" xfId="0" applyFont="1" applyFill="1" applyBorder="1" applyAlignment="1">
      <alignment horizontal="center" vertical="center"/>
    </xf>
    <xf numFmtId="14" fontId="14" fillId="24" borderId="9" xfId="0" applyNumberFormat="1" applyFont="1" applyFill="1" applyBorder="1" applyAlignment="1">
      <alignment horizontal="center" vertical="center"/>
    </xf>
    <xf numFmtId="14" fontId="14" fillId="24" borderId="13" xfId="0" applyNumberFormat="1" applyFont="1" applyFill="1" applyBorder="1" applyAlignment="1">
      <alignment horizontal="center" vertical="center"/>
    </xf>
    <xf numFmtId="0" fontId="9" fillId="24" borderId="40" xfId="0" applyFont="1" applyFill="1" applyBorder="1" applyAlignment="1">
      <alignment horizontal="center" vertical="center" wrapText="1"/>
    </xf>
    <xf numFmtId="0" fontId="9" fillId="24" borderId="41" xfId="0" applyFont="1" applyFill="1" applyBorder="1" applyAlignment="1">
      <alignment horizontal="center" vertical="center" wrapText="1"/>
    </xf>
    <xf numFmtId="0" fontId="9" fillId="24" borderId="42" xfId="0" applyFont="1" applyFill="1" applyBorder="1" applyAlignment="1">
      <alignment horizontal="center" vertical="center" wrapText="1"/>
    </xf>
  </cellXfs>
  <cellStyles count="236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00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2" builtinId="9" hidden="1"/>
    <cellStyle name="Hipervínculo visitado" xfId="230" builtinId="9" hidden="1"/>
    <cellStyle name="Hipervínculo visitado" xfId="222" builtinId="9" hidden="1"/>
    <cellStyle name="Hipervínculo visitado" xfId="214" builtinId="9" hidden="1"/>
    <cellStyle name="Hipervínculo visitado" xfId="206" builtinId="9" hidden="1"/>
    <cellStyle name="Hipervínculo visitado" xfId="198" builtinId="9" hidden="1"/>
    <cellStyle name="Hipervínculo visitado" xfId="190" builtinId="9" hidden="1"/>
    <cellStyle name="Hipervínculo visitado" xfId="182" builtinId="9" hidden="1"/>
    <cellStyle name="Hipervínculo visitado" xfId="174" builtinId="9" hidden="1"/>
    <cellStyle name="Hipervínculo visitado" xfId="166" builtinId="9" hidden="1"/>
    <cellStyle name="Hipervínculo visitado" xfId="158" builtinId="9" hidden="1"/>
    <cellStyle name="Hipervínculo visitado" xfId="150" builtinId="9" hidden="1"/>
    <cellStyle name="Hipervínculo visitado" xfId="142" builtinId="9" hidden="1"/>
    <cellStyle name="Hipervínculo visitado" xfId="134" builtinId="9" hidden="1"/>
    <cellStyle name="Hipervínculo visitado" xfId="126" builtinId="9" hidden="1"/>
    <cellStyle name="Hipervínculo visitado" xfId="118" builtinId="9" hidden="1"/>
    <cellStyle name="Hipervínculo visitado" xfId="110" builtinId="9" hidden="1"/>
    <cellStyle name="Hipervínculo visitado" xfId="10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86" builtinId="9" hidden="1"/>
    <cellStyle name="Hipervínculo visitado" xfId="70" builtinId="9" hidden="1"/>
    <cellStyle name="Hipervínculo visitado" xfId="54" builtinId="9" hidden="1"/>
    <cellStyle name="Hipervínculo visitado" xfId="20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22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Millares" xfId="233" builtinId="3"/>
    <cellStyle name="Moneda" xfId="235" builtinId="4"/>
    <cellStyle name="Moneda [0]" xfId="234" builtinId="7"/>
    <cellStyle name="Normal" xfId="0" builtinId="0"/>
  </cellStyles>
  <dxfs count="347"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800000"/>
      </font>
      <fill>
        <patternFill patternType="solid">
          <fgColor indexed="64"/>
          <bgColor rgb="FFFFFF00"/>
        </patternFill>
      </fill>
    </dxf>
    <dxf>
      <font>
        <color rgb="FF800000"/>
      </font>
      <fill>
        <patternFill patternType="solid">
          <fgColor indexed="64"/>
          <bgColor rgb="FFCCFFCC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800000"/>
      </font>
      <fill>
        <patternFill patternType="solid">
          <fgColor indexed="64"/>
          <bgColor rgb="FFFFFF00"/>
        </patternFill>
      </fill>
    </dxf>
    <dxf>
      <font>
        <color rgb="FF800000"/>
      </font>
      <fill>
        <patternFill patternType="solid">
          <fgColor indexed="64"/>
          <bgColor rgb="FFCCFFCC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800000"/>
      </font>
      <fill>
        <patternFill patternType="solid">
          <fgColor indexed="64"/>
          <bgColor rgb="FFFFFF00"/>
        </patternFill>
      </fill>
    </dxf>
    <dxf>
      <font>
        <color rgb="FF800000"/>
      </font>
      <fill>
        <patternFill patternType="solid">
          <fgColor indexed="64"/>
          <bgColor rgb="FFCCFFCC"/>
        </patternFill>
      </fill>
    </dxf>
    <dxf>
      <font>
        <color rgb="FFFFFF00"/>
      </font>
      <fill>
        <patternFill patternType="solid">
          <fgColor indexed="64"/>
          <bgColor rgb="FFFF0000"/>
        </patternFill>
      </fill>
    </dxf>
    <dxf>
      <font>
        <color rgb="FF800000"/>
      </font>
      <fill>
        <patternFill patternType="solid">
          <fgColor indexed="64"/>
          <bgColor rgb="FFFFFF00"/>
        </patternFill>
      </fill>
    </dxf>
    <dxf>
      <font>
        <color rgb="FF800000"/>
      </font>
      <fill>
        <patternFill patternType="solid">
          <fgColor indexed="64"/>
          <bgColor rgb="FFCCFFC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border diagonalUp="0" diagonalDown="0" outline="0">
        <left style="hair">
          <color auto="1"/>
        </left>
        <right style="medium">
          <color indexed="64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left style="medium">
          <color auto="1"/>
        </left>
        <right style="medium">
          <color auto="1"/>
        </right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none">
          <fgColor indexed="64"/>
          <bgColor theme="3"/>
        </patternFill>
      </fill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22" formatCode="mmm\-yy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2" formatCode="mmm\-yy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2" formatCode="mmm\-yy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medium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_-;\-* #,##0_-;_-* &quot;-&quot;??_-;_-@_-"/>
      <alignment horizontal="left" vertical="center" textRotation="0" wrapText="1" relative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rial Narrow"/>
        <family val="2"/>
        <scheme val="none"/>
      </font>
      <fill>
        <patternFill patternType="none">
          <fgColor indexed="64"/>
          <bgColor theme="3"/>
        </patternFill>
      </fill>
      <alignment horizontal="center" vertical="center" textRotation="0" wrapText="1" indent="0" justifyLastLine="0" shrinkToFit="1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hair">
          <color indexed="64"/>
        </left>
        <right/>
        <top/>
        <bottom style="hair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auto="1"/>
        </left>
        <right/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6" formatCode="_-[$$-240A]\ * #,##0.00_-;\-[$$-240A]\ * #,##0.00_-;_-[$$-240A]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  <vertical/>
      </border>
      <protection locked="1" hidden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hair">
          <color indexed="64"/>
        </left>
        <right/>
        <top/>
        <bottom style="hair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auto="1"/>
        </left>
        <right/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6" formatCode="_-[$$-240A]\ * #,##0.00_-;\-[$$-240A]\ * #,##0.00_-;_-[$$-240A]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  <vertical/>
      </border>
      <protection locked="1" hidden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/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7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8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/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readingOrder="0"/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0.7999816888943144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1" hidden="1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0.79998168889431442"/>
        <name val="Arial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1" hidden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Medium9">
    <tableStyle name="Estilo de tabla 1" pivot="0" count="1" xr9:uid="{2C2017D5-EC67-4CA8-82B2-F96EC0F40EC5}">
      <tableStyleElement type="wholeTable" dxfId="346"/>
    </tableStyle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0</xdr:row>
      <xdr:rowOff>47625</xdr:rowOff>
    </xdr:from>
    <xdr:to>
      <xdr:col>8</xdr:col>
      <xdr:colOff>685800</xdr:colOff>
      <xdr:row>19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D">
              <a:extLst>
                <a:ext uri="{FF2B5EF4-FFF2-40B4-BE49-F238E27FC236}">
                  <a16:creationId xmlns:a16="http://schemas.microsoft.com/office/drawing/2014/main" id="{3FAA4740-04C8-D25A-8632-567B717EA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5050" y="47625"/>
              <a:ext cx="1828800" cy="372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276225</xdr:colOff>
      <xdr:row>0</xdr:row>
      <xdr:rowOff>38100</xdr:rowOff>
    </xdr:from>
    <xdr:to>
      <xdr:col>6</xdr:col>
      <xdr:colOff>76200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STADO">
              <a:extLst>
                <a:ext uri="{FF2B5EF4-FFF2-40B4-BE49-F238E27FC236}">
                  <a16:creationId xmlns:a16="http://schemas.microsoft.com/office/drawing/2014/main" id="{CBC28663-1B46-F704-FFD6-257B9BF2C0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1475" y="38100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814.650509375002" createdVersion="8" refreshedVersion="8" minRefreshableVersion="3" recordCount="30" xr:uid="{2E291601-37FD-4EC2-BD24-EE1ACCE5C62B}">
  <cacheSource type="worksheet">
    <worksheetSource name="REFUELLERS[[CONDICION]:[ESTADO]]"/>
  </cacheSource>
  <cacheFields count="19">
    <cacheField name="COD" numFmtId="0">
      <sharedItems containsBlank="1" count="13">
        <s v="GAA"/>
        <s v="PEI"/>
        <s v="MED"/>
        <s v="BAQ"/>
        <s v="AXM"/>
        <s v="IBE"/>
        <s v="CLO"/>
        <s v="EOH"/>
        <s v="UIB"/>
        <m/>
        <s v="CZU"/>
        <s v="FLA"/>
        <s v="PPN"/>
      </sharedItems>
    </cacheField>
    <cacheField name="MARCA" numFmtId="0">
      <sharedItems/>
    </cacheField>
    <cacheField name="REF" numFmtId="0">
      <sharedItems containsMixedTypes="1" containsNumber="1" containsInteger="1" minValue="700" maxValue="4900"/>
    </cacheField>
    <cacheField name="MOVIL " numFmtId="0">
      <sharedItems/>
    </cacheField>
    <cacheField name="PLACA" numFmtId="0">
      <sharedItems/>
    </cacheField>
    <cacheField name="MOD" numFmtId="3">
      <sharedItems containsSemiMixedTypes="0" containsString="0" containsNumber="1" containsInteger="1" minValue="1970" maxValue="2013"/>
    </cacheField>
    <cacheField name="CAP" numFmtId="3">
      <sharedItems containsSemiMixedTypes="0" containsString="0" containsNumber="1" containsInteger="1" minValue="1200" maxValue="8000"/>
    </cacheField>
    <cacheField name="PRODUCTO" numFmtId="0">
      <sharedItems/>
    </cacheField>
    <cacheField name="FILTRACION" numFmtId="0">
      <sharedItems/>
    </cacheField>
    <cacheField name="MARCA " numFmtId="0">
      <sharedItems containsBlank="1"/>
    </cacheField>
    <cacheField name="CANT" numFmtId="0">
      <sharedItems containsString="0" containsBlank="1" containsNumber="1" containsInteger="1" minValue="1" maxValue="27" count="6">
        <n v="2"/>
        <n v="3"/>
        <n v="27"/>
        <n v="1"/>
        <n v="10"/>
        <m/>
      </sharedItems>
    </cacheField>
    <cacheField name="1º ETAPA" numFmtId="0">
      <sharedItems containsBlank="1" count="15">
        <s v="FG-O-512-2"/>
        <s v="CAA33-5SB"/>
        <s v="I-633C5TB"/>
        <s v="FG-230-7 "/>
        <s v="I-63383TB"/>
        <s v="CAA28-5SB"/>
        <s v="CAA22-5SB"/>
        <s v="CA33-3SB"/>
        <s v="I-622C5TB"/>
        <s v="FG-0-512-2"/>
        <s v="ACO 51201-P"/>
        <s v="ACO 51201R"/>
        <s v="FG-O-609-2"/>
        <s v="CDF-230P"/>
        <m/>
      </sharedItems>
    </cacheField>
    <cacheField name="1º USD" numFmtId="168">
      <sharedItems containsString="0" containsBlank="1" containsNumber="1" minValue="135.54" maxValue="1829.79"/>
    </cacheField>
    <cacheField name="CANT " numFmtId="0">
      <sharedItems containsBlank="1" containsMixedTypes="1" containsNumber="1" containsInteger="1" minValue="1" maxValue="1"/>
    </cacheField>
    <cacheField name="2º ETAPA" numFmtId="0">
      <sharedItems containsBlank="1" count="12">
        <s v="N/A"/>
        <s v="SS436FB-5"/>
        <s v="SO-436V"/>
        <s v="SS630FE-5"/>
        <s v="SS622FF-5"/>
        <s v="SS622FB-5"/>
        <s v="SO-324VA5"/>
        <s v="SO-436V5"/>
        <s v="SO-623VA"/>
        <s v="SM-436FE-5"/>
        <s v="SS424FB-5"/>
        <m/>
      </sharedItems>
    </cacheField>
    <cacheField name="2º USD" numFmtId="168">
      <sharedItems containsString="0" containsBlank="1" containsNumber="1" minValue="108.35" maxValue="288.31"/>
    </cacheField>
    <cacheField name="PROXIMO CAMBIO" numFmtId="14">
      <sharedItems containsSemiMixedTypes="0" containsNonDate="0" containsDate="1" containsString="0" minDate="2015-06-21T00:00:00" maxDate="2028-03-16T00:00:00"/>
    </cacheField>
    <cacheField name="DIAS DE VIGILANCIA" numFmtId="0">
      <sharedItems containsSemiMixedTypes="0" containsString="0" containsNumber="1" containsInteger="1" minValue="-3638" maxValue="1013" count="10">
        <n v="282"/>
        <n v="-1446"/>
        <n v="692"/>
        <n v="-3638"/>
        <n v="969"/>
        <n v="1011"/>
        <n v="810"/>
        <n v="-350"/>
        <n v="-2542"/>
        <n v="1013"/>
      </sharedItems>
    </cacheField>
    <cacheField name="ESTADO" numFmtId="0">
      <sharedItems count="2">
        <s v="VIGENTE"/>
        <s v="VENCIDO"/>
      </sharedItems>
    </cacheField>
  </cacheFields>
  <extLst>
    <ext xmlns:x14="http://schemas.microsoft.com/office/spreadsheetml/2009/9/main" uri="{725AE2AE-9491-48be-B2B4-4EB974FC3084}">
      <x14:pivotCacheDefinition pivotCacheId="3947283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CHEVROLET"/>
    <s v="NKR"/>
    <s v="MOV 050"/>
    <s v="SLJ-437"/>
    <n v="2008"/>
    <n v="1360"/>
    <s v="JET A-1"/>
    <s v="Monitor"/>
    <s v="Facet"/>
    <x v="0"/>
    <x v="0"/>
    <n v="135.54"/>
    <s v="N/A"/>
    <x v="0"/>
    <m/>
    <d v="2026-03-15T00:00:00"/>
    <x v="0"/>
    <x v="0"/>
  </r>
  <r>
    <x v="1"/>
    <s v="CHEVROLET"/>
    <s v="KODIAK"/>
    <s v="MOV 051"/>
    <s v="UFQ-586"/>
    <n v="1998"/>
    <n v="4100"/>
    <s v="JET A-1"/>
    <s v="Separador"/>
    <s v="Facet"/>
    <x v="1"/>
    <x v="1"/>
    <n v="778.34999999999991"/>
    <n v="1"/>
    <x v="1"/>
    <n v="260.3"/>
    <d v="2021-06-21T00:00:00"/>
    <x v="1"/>
    <x v="1"/>
  </r>
  <r>
    <x v="2"/>
    <s v="CHEVROLET"/>
    <s v="KODIAK"/>
    <s v="MOV 053"/>
    <s v="UFT-131"/>
    <n v="2003"/>
    <n v="5100"/>
    <s v="JET A-1"/>
    <s v="Separador"/>
    <s v="Velcon"/>
    <x v="0"/>
    <x v="2"/>
    <n v="512.20000000000005"/>
    <n v="1"/>
    <x v="2"/>
    <n v="288.31"/>
    <d v="2027-04-29T00:00:00"/>
    <x v="2"/>
    <x v="0"/>
  </r>
  <r>
    <x v="3"/>
    <s v="CHEVROLET"/>
    <s v="KODIAK"/>
    <s v="MOV 056"/>
    <s v="VEG-911"/>
    <n v="2006"/>
    <n v="3500"/>
    <s v="JET A-1"/>
    <s v="Separador"/>
    <s v="Facet"/>
    <x v="1"/>
    <x v="1"/>
    <n v="778.34999999999991"/>
    <n v="1"/>
    <x v="1"/>
    <n v="260.3"/>
    <d v="2021-06-21T00:00:00"/>
    <x v="1"/>
    <x v="1"/>
  </r>
  <r>
    <x v="1"/>
    <s v="KW DART"/>
    <s v="80FTDR"/>
    <s v="MOV 057"/>
    <s v="T-6743"/>
    <n v="1970"/>
    <n v="8000"/>
    <s v="JET A-1"/>
    <s v="Monitor"/>
    <s v="Facet"/>
    <x v="2"/>
    <x v="3"/>
    <n v="1829.79"/>
    <s v="N/A"/>
    <x v="0"/>
    <m/>
    <d v="2015-06-21T00:00:00"/>
    <x v="3"/>
    <x v="1"/>
  </r>
  <r>
    <x v="2"/>
    <s v="INTERNATIONAL"/>
    <s v="S 1900"/>
    <s v="MOV 059"/>
    <s v="GFP-522"/>
    <n v="1989"/>
    <n v="5000"/>
    <s v="JET A-1"/>
    <s v="Separador"/>
    <s v="Velcon"/>
    <x v="1"/>
    <x v="4"/>
    <n v="602.84999999999991"/>
    <n v="1"/>
    <x v="2"/>
    <n v="288.31"/>
    <d v="2021-06-21T00:00:00"/>
    <x v="1"/>
    <x v="1"/>
  </r>
  <r>
    <x v="4"/>
    <s v="CHEVROLET"/>
    <s v="KODIAK"/>
    <s v="MOV 062"/>
    <s v="LAM-566"/>
    <n v="1996"/>
    <n v="3850"/>
    <s v="JET A-1"/>
    <s v="Separador"/>
    <s v="Facet"/>
    <x v="0"/>
    <x v="5"/>
    <n v="405.18"/>
    <n v="1"/>
    <x v="3"/>
    <n v="199.98"/>
    <d v="2021-06-21T00:00:00"/>
    <x v="1"/>
    <x v="1"/>
  </r>
  <r>
    <x v="5"/>
    <s v="CHEVROLET"/>
    <s v="NPR"/>
    <s v="MOV 064"/>
    <s v="FTR-598"/>
    <n v="2006"/>
    <n v="2265"/>
    <s v="JET A-1"/>
    <s v="Separador"/>
    <s v="Facet"/>
    <x v="0"/>
    <x v="6"/>
    <n v="201.84"/>
    <n v="1"/>
    <x v="4"/>
    <n v="144.43"/>
    <d v="2021-06-21T00:00:00"/>
    <x v="1"/>
    <x v="1"/>
  </r>
  <r>
    <x v="6"/>
    <s v="INTERNATIONAL"/>
    <n v="4900"/>
    <s v="MOV 065"/>
    <s v="VKK-836"/>
    <n v="1990"/>
    <n v="5120"/>
    <s v="JET A-1"/>
    <s v="Separador"/>
    <s v="Facet"/>
    <x v="1"/>
    <x v="1"/>
    <n v="778.34999999999991"/>
    <n v="1"/>
    <x v="1"/>
    <n v="260.3"/>
    <d v="2028-01-31T00:00:00"/>
    <x v="4"/>
    <x v="0"/>
  </r>
  <r>
    <x v="2"/>
    <s v="INTERNATIONAL"/>
    <n v="4900"/>
    <s v="MOV 067"/>
    <s v="WOW-069"/>
    <n v="2000"/>
    <n v="3150"/>
    <s v="JET A-1"/>
    <s v="Separador"/>
    <s v="Facet"/>
    <x v="1"/>
    <x v="7"/>
    <n v="918.66000000000008"/>
    <n v="1"/>
    <x v="1"/>
    <m/>
    <d v="2021-06-21T00:00:00"/>
    <x v="1"/>
    <x v="1"/>
  </r>
  <r>
    <x v="2"/>
    <s v="INTERNATIONAL"/>
    <n v="4900"/>
    <s v="MOV 068"/>
    <s v="WOW-071"/>
    <n v="1990"/>
    <n v="5000"/>
    <s v="JET A-1"/>
    <s v="Separador"/>
    <s v="Facet"/>
    <x v="1"/>
    <x v="1"/>
    <n v="778.34999999999991"/>
    <n v="1"/>
    <x v="1"/>
    <n v="260.3"/>
    <d v="2028-01-31T00:00:00"/>
    <x v="4"/>
    <x v="0"/>
  </r>
  <r>
    <x v="7"/>
    <s v="CHEVROLET"/>
    <s v="NPR"/>
    <s v="MOV 069"/>
    <s v="SRM-773"/>
    <n v="2007"/>
    <n v="2325"/>
    <s v="JET A-1"/>
    <s v="Separador"/>
    <s v="Facet"/>
    <x v="0"/>
    <x v="6"/>
    <n v="201.84"/>
    <n v="1"/>
    <x v="5"/>
    <n v="144.43"/>
    <d v="2028-03-13T00:00:00"/>
    <x v="5"/>
    <x v="0"/>
  </r>
  <r>
    <x v="8"/>
    <s v="CHEVROLET"/>
    <s v="NPR"/>
    <s v="MOV 071"/>
    <s v="SRM-774"/>
    <n v="2007"/>
    <n v="2325"/>
    <s v="JET A-1"/>
    <s v="Separador"/>
    <s v="Velcon"/>
    <x v="0"/>
    <x v="8"/>
    <n v="399"/>
    <n v="1"/>
    <x v="6"/>
    <n v="288.31"/>
    <d v="2027-08-25T00:00:00"/>
    <x v="6"/>
    <x v="0"/>
  </r>
  <r>
    <x v="6"/>
    <s v="CHEVROLET"/>
    <s v="NKR"/>
    <s v="MOV 072"/>
    <s v="SOP-688"/>
    <n v="2009"/>
    <n v="1450"/>
    <s v="AV Gas"/>
    <s v="Monitor"/>
    <s v="Facet"/>
    <x v="0"/>
    <x v="9"/>
    <n v="311.5"/>
    <s v="N/A"/>
    <x v="0"/>
    <m/>
    <d v="2024-06-21T00:00:00"/>
    <x v="7"/>
    <x v="1"/>
  </r>
  <r>
    <x v="2"/>
    <s v="INTERNATIONAL"/>
    <s v="DT 466"/>
    <s v="MOV 073"/>
    <s v="GFP-509"/>
    <n v="1997"/>
    <n v="5000"/>
    <s v="JET A-1"/>
    <s v="Separador"/>
    <s v="Facet"/>
    <x v="1"/>
    <x v="7"/>
    <n v="918.66000000000008"/>
    <n v="1"/>
    <x v="2"/>
    <n v="288.31"/>
    <d v="2021-06-21T00:00:00"/>
    <x v="1"/>
    <x v="1"/>
  </r>
  <r>
    <x v="7"/>
    <s v="CHEVROLET"/>
    <s v="NKR"/>
    <s v="MOV 074"/>
    <s v="SRP-464"/>
    <n v="2010"/>
    <n v="1585"/>
    <s v="AV Gas"/>
    <s v="Cartucho"/>
    <s v="Velcon"/>
    <x v="3"/>
    <x v="10"/>
    <n v="314"/>
    <s v="N/A"/>
    <x v="0"/>
    <m/>
    <d v="2021-06-21T00:00:00"/>
    <x v="1"/>
    <x v="1"/>
  </r>
  <r>
    <x v="9"/>
    <s v="FORD"/>
    <s v="F 800"/>
    <s v="MOV 075"/>
    <s v="GFP-512"/>
    <n v="1991"/>
    <n v="4500"/>
    <s v="JET A-1"/>
    <s v="Separador"/>
    <s v="Velcon"/>
    <x v="1"/>
    <x v="2"/>
    <n v="768.30000000000007"/>
    <n v="1"/>
    <x v="7"/>
    <n v="282.2"/>
    <d v="2024-06-21T00:00:00"/>
    <x v="7"/>
    <x v="1"/>
  </r>
  <r>
    <x v="10"/>
    <s v="CHEVROLET"/>
    <s v="NPR"/>
    <s v="MOV 077"/>
    <s v="SRP-605"/>
    <n v="2010"/>
    <n v="2500"/>
    <s v="JET A-1"/>
    <s v="Separador"/>
    <s v="Facet"/>
    <x v="0"/>
    <x v="6"/>
    <n v="201.84"/>
    <n v="1"/>
    <x v="5"/>
    <n v="144.43"/>
    <d v="2021-06-21T00:00:00"/>
    <x v="1"/>
    <x v="1"/>
  </r>
  <r>
    <x v="11"/>
    <s v="CHEVROLET"/>
    <s v="NPR"/>
    <s v="MOV 078"/>
    <s v="SRP-748"/>
    <n v="2011"/>
    <n v="2250"/>
    <s v="JET A-1"/>
    <s v="Separador"/>
    <s v="Velcon"/>
    <x v="0"/>
    <x v="8"/>
    <n v="399"/>
    <n v="1"/>
    <x v="8"/>
    <n v="108.35"/>
    <d v="2021-06-21T00:00:00"/>
    <x v="1"/>
    <x v="1"/>
  </r>
  <r>
    <x v="0"/>
    <s v="CHEVROLET"/>
    <s v="NKR"/>
    <s v="MOV 079"/>
    <s v="SPV-738"/>
    <n v="2011"/>
    <n v="1615"/>
    <s v="JET A-1"/>
    <s v="Cartucho"/>
    <s v="Velcon"/>
    <x v="0"/>
    <x v="10"/>
    <n v="628"/>
    <s v="N/A"/>
    <x v="0"/>
    <m/>
    <d v="2026-03-15T00:00:00"/>
    <x v="0"/>
    <x v="0"/>
  </r>
  <r>
    <x v="10"/>
    <s v="CHEVROLET"/>
    <s v="NKR"/>
    <s v="MOV 080"/>
    <s v="SPV-739"/>
    <n v="2011"/>
    <n v="1600"/>
    <s v="JET A-1"/>
    <s v="Cartucho"/>
    <s v="Velcon"/>
    <x v="0"/>
    <x v="11"/>
    <n v="628"/>
    <s v="N/A"/>
    <x v="0"/>
    <m/>
    <d v="2021-06-21T00:00:00"/>
    <x v="1"/>
    <x v="1"/>
  </r>
  <r>
    <x v="12"/>
    <s v="FORD"/>
    <s v="F 600"/>
    <s v="MOV 082"/>
    <s v="KPN-543"/>
    <n v="1991"/>
    <n v="1250"/>
    <s v="AV Gas"/>
    <s v="Cartucho"/>
    <s v="Velcon"/>
    <x v="3"/>
    <x v="10"/>
    <n v="314"/>
    <s v="N/A"/>
    <x v="0"/>
    <m/>
    <d v="2021-06-21T00:00:00"/>
    <x v="1"/>
    <x v="1"/>
  </r>
  <r>
    <x v="0"/>
    <s v="FORD"/>
    <s v="F 600"/>
    <s v="MOV 083"/>
    <s v="KPN-555"/>
    <n v="1991"/>
    <n v="1200"/>
    <s v="AV Gas"/>
    <s v="Monitor"/>
    <s v="Facet"/>
    <x v="3"/>
    <x v="12"/>
    <n v="155.75"/>
    <s v="N/A"/>
    <x v="0"/>
    <m/>
    <d v="2018-06-21T00:00:00"/>
    <x v="8"/>
    <x v="1"/>
  </r>
  <r>
    <x v="12"/>
    <s v="CHEVROLET"/>
    <s v="NQR"/>
    <s v="MOV 084"/>
    <s v="SZW-246"/>
    <n v="2012"/>
    <n v="2500"/>
    <s v="JET A-1"/>
    <s v="Separador"/>
    <s v="Facet"/>
    <x v="0"/>
    <x v="6"/>
    <n v="201.84"/>
    <n v="1"/>
    <x v="1"/>
    <n v="260.3"/>
    <d v="2021-06-21T00:00:00"/>
    <x v="1"/>
    <x v="1"/>
  </r>
  <r>
    <x v="7"/>
    <s v="CHEVROLET"/>
    <s v="NKR"/>
    <s v="MOV 085"/>
    <s v="SZW-389"/>
    <n v="2012"/>
    <n v="2000"/>
    <s v="JET A-1"/>
    <s v="Monitor"/>
    <s v="Velcon"/>
    <x v="4"/>
    <x v="13"/>
    <n v="867"/>
    <s v="N/A"/>
    <x v="0"/>
    <m/>
    <d v="2021-06-21T00:00:00"/>
    <x v="1"/>
    <x v="1"/>
  </r>
  <r>
    <x v="2"/>
    <s v="INTERNATIONAL"/>
    <s v="4700 4X2"/>
    <s v="MOV 086"/>
    <s v="WOW-093"/>
    <n v="2012"/>
    <n v="3000"/>
    <s v="JET A-1"/>
    <s v="Separador"/>
    <s v="Facet"/>
    <x v="1"/>
    <x v="1"/>
    <n v="778.34999999999991"/>
    <n v="1"/>
    <x v="1"/>
    <n v="260.3"/>
    <d v="2021-06-21T00:00:00"/>
    <x v="1"/>
    <x v="1"/>
  </r>
  <r>
    <x v="6"/>
    <s v="INTERNATIONAL"/>
    <n v="4300"/>
    <s v="MOV 088"/>
    <s v="SPX-874"/>
    <n v="2013"/>
    <n v="3150"/>
    <s v="JET A-1"/>
    <s v="Separador"/>
    <s v="Facet"/>
    <x v="1"/>
    <x v="1"/>
    <n v="778.34999999999991"/>
    <n v="1"/>
    <x v="9"/>
    <n v="277.58"/>
    <d v="2021-06-21T00:00:00"/>
    <x v="1"/>
    <x v="1"/>
  </r>
  <r>
    <x v="6"/>
    <s v="INTERNATIONAL"/>
    <n v="4300"/>
    <s v="MOV 089"/>
    <s v="SPY-210"/>
    <n v="2007"/>
    <n v="3000"/>
    <s v="JET A-1"/>
    <s v="Separador"/>
    <s v="Velcon"/>
    <x v="1"/>
    <x v="2"/>
    <n v="768.30000000000007"/>
    <n v="1"/>
    <x v="7"/>
    <n v="282.2"/>
    <d v="2028-03-15T00:00:00"/>
    <x v="9"/>
    <x v="0"/>
  </r>
  <r>
    <x v="4"/>
    <s v="CHEVROLET"/>
    <s v="KODIAK"/>
    <s v="MOV 090"/>
    <s v="SKH-065"/>
    <n v="1995"/>
    <n v="2650"/>
    <s v="JET A-1"/>
    <s v="Separador"/>
    <s v="Facet"/>
    <x v="1"/>
    <x v="6"/>
    <n v="302.76"/>
    <n v="1"/>
    <x v="10"/>
    <n v="197.82"/>
    <d v="2028-03-13T00:00:00"/>
    <x v="5"/>
    <x v="0"/>
  </r>
  <r>
    <x v="1"/>
    <s v="FORD"/>
    <n v="700"/>
    <s v="MOV 091"/>
    <s v="KPN-551"/>
    <n v="1991"/>
    <n v="2650"/>
    <s v="JET A-1"/>
    <s v="Separador"/>
    <m/>
    <x v="5"/>
    <x v="14"/>
    <m/>
    <m/>
    <x v="11"/>
    <m/>
    <d v="2024-06-21T00:00:00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7341F-B4D2-424D-8E40-46DE39914440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5" firstHeaderRow="0" firstDataRow="1" firstDataCol="1"/>
  <pivotFields count="19">
    <pivotField showAll="0">
      <items count="14">
        <item x="4"/>
        <item h="1" x="3"/>
        <item h="1" x="6"/>
        <item h="1" x="10"/>
        <item h="1" x="7"/>
        <item h="1" x="11"/>
        <item h="1" x="0"/>
        <item h="1" x="5"/>
        <item h="1" x="2"/>
        <item h="1" x="1"/>
        <item h="1" x="12"/>
        <item h="1" x="8"/>
        <item h="1" x="9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dataField="1" showAll="0">
      <items count="7">
        <item x="3"/>
        <item x="0"/>
        <item x="1"/>
        <item x="4"/>
        <item x="2"/>
        <item x="5"/>
        <item t="default"/>
      </items>
    </pivotField>
    <pivotField axis="axisRow" showAll="0">
      <items count="16">
        <item x="10"/>
        <item x="11"/>
        <item x="7"/>
        <item x="6"/>
        <item x="5"/>
        <item x="1"/>
        <item x="13"/>
        <item x="9"/>
        <item x="3"/>
        <item x="0"/>
        <item x="12"/>
        <item x="8"/>
        <item x="4"/>
        <item x="2"/>
        <item x="14"/>
        <item t="default"/>
      </items>
    </pivotField>
    <pivotField showAll="0"/>
    <pivotField showAll="0"/>
    <pivotField showAll="0">
      <items count="13">
        <item x="0"/>
        <item x="9"/>
        <item x="6"/>
        <item x="2"/>
        <item x="7"/>
        <item x="8"/>
        <item x="10"/>
        <item x="1"/>
        <item x="5"/>
        <item x="4"/>
        <item x="3"/>
        <item x="11"/>
        <item t="default"/>
      </items>
    </pivotField>
    <pivotField showAll="0"/>
    <pivotField numFmtId="14" showAll="0"/>
    <pivotField dataField="1" showAll="0">
      <items count="11">
        <item x="3"/>
        <item x="8"/>
        <item x="1"/>
        <item x="7"/>
        <item x="0"/>
        <item x="2"/>
        <item x="6"/>
        <item x="4"/>
        <item x="5"/>
        <item x="9"/>
        <item t="default"/>
      </items>
    </pivotField>
    <pivotField showAll="0">
      <items count="3">
        <item x="1"/>
        <item h="1" x="0"/>
        <item t="default"/>
      </items>
    </pivotField>
  </pivotFields>
  <rowFields count="1">
    <field x="11"/>
  </rowFields>
  <rowItems count="2"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IAS DE VIGILANCIA" fld="17" baseField="0" baseItem="0"/>
    <dataField name="Suma de CANT" fld="1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es-ES</v>
    <v>avyma2</v>
    <v>268435456</v>
    <v>1</v>
    <v>Con tecnología de Refinitiv</v>
    <v>0</v>
    <v>1</v>
    <v>USD/COP</v>
    <v>3</v>
    <v>4</v>
    <v>Finance</v>
    <v>5</v>
    <v>3718.74</v>
    <v>-29.33</v>
    <v>-7.8790000000000006E-3</v>
    <v>3722.58</v>
    <v>USD</v>
    <v>46017.869259259256</v>
    <v>3731.35</v>
    <v>4460.24</v>
    <v>3689.5</v>
    <v>3681.16</v>
    <v>COP</v>
    <v>US Dollar/Colombian Peso FX Spot Rate</v>
    <v>3693.25</v>
    <v>USDCOP</v>
    <v>Par de divisa</v>
    <v>USD/COP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_-[$$-es-CO] * #,##0.00_-;-[$$-es-CO] * #,##0.00_-;_-[$$-es-CO] * "-"??_-;_-@_-</rpv>
    </rSty>
    <rSty>
      <rpv i="1">1</rpv>
    </rSty>
    <rSty dxfid="3"/>
    <rSty dxfid="0">
      <rpv i="0">0.00</rpv>
    </rSty>
    <rSty dxfid="2"/>
  </richStyles>
</richStyleShee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D" xr10:uid="{12D690E2-34E6-4564-9BCE-16F60A00724A}" sourceName="COD">
  <pivotTables>
    <pivotTable tabId="16" name="TablaDinámica1"/>
  </pivotTables>
  <data>
    <tabular pivotCacheId="394728325">
      <items count="13">
        <i x="4" s="1"/>
        <i x="3"/>
        <i x="6"/>
        <i x="10"/>
        <i x="7"/>
        <i x="11"/>
        <i x="0"/>
        <i x="5"/>
        <i x="2"/>
        <i x="1"/>
        <i x="12"/>
        <i x="9"/>
        <i x="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672EF8E3-E97D-402D-981D-D418257230E4}" sourceName="ESTADO">
  <pivotTables>
    <pivotTable tabId="16" name="TablaDinámica1"/>
  </pivotTables>
  <data>
    <tabular pivotCacheId="394728325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D" xr10:uid="{0B6AAD1D-E740-4770-A739-5E9497681CD7}" cache="SegmentaciónDeDatos_COD" caption="COD" rowHeight="241300"/>
  <slicer name="ESTADO" xr10:uid="{CDAB52CF-C633-44FA-8E58-52A1EF95995F}" cache="SegmentaciónDeDatos_ESTADO" caption="ESTAD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52AF04-80B3-4FE2-9C83-2010BBD7D7ED}" name="REFUELLERS" displayName="REFUELLERS" ref="B5:V36" totalsRowShown="0" headerRowDxfId="345" dataDxfId="343" headerRowBorderDxfId="344" tableBorderDxfId="342" totalsRowBorderDxfId="341">
  <autoFilter ref="B5:V36" xr:uid="{F952AF04-80B3-4FE2-9C83-2010BBD7D7ED}"/>
  <sortState xmlns:xlrd2="http://schemas.microsoft.com/office/spreadsheetml/2017/richdata2" ref="B6:V36">
    <sortCondition ref="F5:F36"/>
  </sortState>
  <tableColumns count="21">
    <tableColumn id="20" xr3:uid="{E9CB81FA-ED6F-4F01-9B4C-DBE6F80ACDE5}" name="SUP" dataDxfId="340" totalsRowDxfId="339"/>
    <tableColumn id="21" xr3:uid="{BD09CE2E-6AC0-40E5-90ED-D0DA12BAB30C}" name="COD" dataDxfId="338" totalsRowDxfId="337"/>
    <tableColumn id="18" xr3:uid="{7F24792C-9D52-46FD-A2FB-83F7DFAC80F3}" name="MARCA" dataDxfId="336" totalsRowDxfId="335"/>
    <tableColumn id="8" xr3:uid="{3E1D602A-C525-465B-A27D-26BEEC9F0B18}" name="REF" dataDxfId="334" totalsRowDxfId="333"/>
    <tableColumn id="6" xr3:uid="{4684E11A-33C6-491D-89E5-493CE64CFBD3}" name="MOVIL " dataDxfId="332" totalsRowDxfId="331"/>
    <tableColumn id="26" xr3:uid="{7BA16715-F57B-4C8D-A50A-8FA796124ABF}" name="PLACA" dataDxfId="330" totalsRowDxfId="329"/>
    <tableColumn id="1" xr3:uid="{BA134CE5-B99B-4C37-8E36-58F36C4C9D86}" name="MOD" dataDxfId="328" totalsRowDxfId="327"/>
    <tableColumn id="3" xr3:uid="{8DAFC907-C65B-4E1D-892B-DCC27EFDCB37}" name="CAP" dataDxfId="326" totalsRowDxfId="325"/>
    <tableColumn id="10" xr3:uid="{0CDC5B11-940F-4997-A4AE-03F0DF29EDC3}" name="PRODUCTO" dataDxfId="324" totalsRowDxfId="323"/>
    <tableColumn id="11" xr3:uid="{AC1DE8D4-E31D-4329-8971-D02F6663255C}" name="FILTRACION" dataDxfId="322" totalsRowDxfId="321"/>
    <tableColumn id="14" xr3:uid="{E79F5E77-40ED-488B-963E-CC62338E48EB}" name="MARCA " dataDxfId="320" totalsRowDxfId="319"/>
    <tableColumn id="12" xr3:uid="{882A5A29-D5E0-4973-BCE8-DB8728E6FD2B}" name="CANT" dataDxfId="318" totalsRowDxfId="317"/>
    <tableColumn id="17" xr3:uid="{CFBC7BEF-1F7E-4D37-AF6F-A774D8436082}" name="1º ETAPA" dataDxfId="316" totalsRowDxfId="315"/>
    <tableColumn id="16" xr3:uid="{1CE507B9-BB97-4D6D-85D1-091792A213DB}" name="CANT " dataDxfId="314" totalsRowDxfId="313"/>
    <tableColumn id="22" xr3:uid="{7C80EBA6-4456-4465-8367-BFB976F0B57C}" name="2º ETAPA" dataDxfId="312" totalsRowDxfId="311"/>
    <tableColumn id="5" xr3:uid="{41EFB765-8B43-49C1-BCE2-9377EAB7CCED}" name="PROXIMO CAMBIO" dataDxfId="310" totalsRowDxfId="309"/>
    <tableColumn id="15" xr3:uid="{BDB915EE-4D84-4E6A-822C-612435CB2C80}" name="DIAS DE VIGILANCIA" dataDxfId="308" totalsRowDxfId="307">
      <calculatedColumnFormula>REFUELLERS[[#This Row],[PROXIMO CAMBIO]]-$D$1</calculatedColumnFormula>
    </tableColumn>
    <tableColumn id="4" xr3:uid="{3F31CDD4-678D-4E38-9903-C28E8FB3D570}" name="ESTADO" dataDxfId="306" totalsRowDxfId="305">
      <calculatedColumnFormula>IF($D$1&lt;=REFUELLERS[[#This Row],[PROXIMO CAMBIO]],"VIGENTE","VENCIDO")</calculatedColumnFormula>
    </tableColumn>
    <tableColumn id="23" xr3:uid="{08C11EBF-2ABB-4698-A23D-D79748F32CC0}" name="CONDICION" dataDxfId="304"/>
    <tableColumn id="9" xr3:uid="{8B1C6DBB-0E59-4C6B-BD35-51563E18CB48}" name="V 1°" dataDxfId="303">
      <calculatedColumnFormula>IFERROR(LOOKUP("SATURADOS",REFUELLERS[[#This Row],[CONDICION]],REFUELLERS[[#This Row],[CANT]]),0)</calculatedColumnFormula>
    </tableColumn>
    <tableColumn id="2" xr3:uid="{72570361-55F7-4551-8C40-6FE4EAC8F433}" name="V 2°" dataDxfId="302">
      <calculatedColumnFormula>IFERROR(LOOKUP("SATURADOS",REFUELLERS[[#This Row],[CONDICION]],REFUELLERS[[#This Row],[CANT ]]),0)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A60405-C28B-40AF-93A9-ED7B49F1121D}" name="PLANTAS" displayName="PLANTAS" ref="B5:R42" totalsRowShown="0" headerRowDxfId="301" dataDxfId="299" headerRowBorderDxfId="300" tableBorderDxfId="298" totalsRowBorderDxfId="297">
  <autoFilter ref="B5:R42" xr:uid="{42A60405-C28B-40AF-93A9-ED7B49F1121D}">
    <filterColumn colId="8">
      <filters>
        <filter val="CAA28-5SB"/>
        <filter val="I-62287TB"/>
      </filters>
    </filterColumn>
  </autoFilter>
  <tableColumns count="17">
    <tableColumn id="18" xr3:uid="{90E729B4-1B5C-421A-9429-4DEAFB207F23}" name="SUP" dataDxfId="296" totalsRowDxfId="295"/>
    <tableColumn id="13" xr3:uid="{64ACF8D7-1491-4D53-B6B8-B9A8EA0ABE5E}" name="COD " dataDxfId="294" totalsRowDxfId="293"/>
    <tableColumn id="8" xr3:uid="{AC07AEC7-9CAA-4DF7-B504-2130F6ED06D5}" name="EDSA / TERMINAL" dataDxfId="292" totalsRowDxfId="291"/>
    <tableColumn id="6" xr3:uid="{5442062F-4382-4C4D-84AD-22C71CEABCEA}" name="UBICACIÓN" dataDxfId="290" totalsRowDxfId="289"/>
    <tableColumn id="26" xr3:uid="{77E20AA1-AFA4-40E2-834E-3C558E5437CC}" name="PRODUCTO" dataDxfId="288" totalsRowDxfId="287"/>
    <tableColumn id="3" xr3:uid="{93E8A2C5-8050-4C76-8A1E-93E894529CB0}" name="FILTRACION2" dataDxfId="286" totalsRowDxfId="285"/>
    <tableColumn id="14" xr3:uid="{FD827CBD-540A-4BCD-94FC-495ABDECC388}" name="MARCA " dataDxfId="284" totalsRowDxfId="283"/>
    <tableColumn id="12" xr3:uid="{E2141928-1393-4201-ABEA-51C621B97F71}" name="CANT" dataDxfId="282" totalsRowDxfId="281"/>
    <tableColumn id="17" xr3:uid="{D97B5781-4E53-4797-BEDF-5D1ED45E7D53}" name="1º ETAPA" dataDxfId="280" totalsRowDxfId="279"/>
    <tableColumn id="16" xr3:uid="{78A45EC7-137A-4395-94A0-F2CCE5DAC890}" name="CANT " dataDxfId="278" totalsRowDxfId="277"/>
    <tableColumn id="22" xr3:uid="{1581B6EE-9123-4CAF-BE11-121190103E39}" name="2º ETAPA" dataDxfId="276" totalsRowDxfId="275"/>
    <tableColumn id="5" xr3:uid="{1610E8D0-EA91-44E4-9433-B079D2E868BB}" name="PROXIMO CAMBIO" dataDxfId="274" totalsRowDxfId="273"/>
    <tableColumn id="15" xr3:uid="{5AA271FE-1E23-47DB-860B-D4228A460E29}" name="DIAS DE VIGILANCIA" dataDxfId="272" totalsRowDxfId="271">
      <calculatedColumnFormula>PLANTAS[[#This Row],[PROXIMO CAMBIO]]-$D$1</calculatedColumnFormula>
    </tableColumn>
    <tableColumn id="10" xr3:uid="{36F30E6C-BAA5-46A1-8908-5BA98D6570B5}" name="ESTADO" dataDxfId="270" totalsRowDxfId="269">
      <calculatedColumnFormula>IF($D$1&lt;=PLANTAS[[#This Row],[PROXIMO CAMBIO]],"VIGENTE","VENCIDO")</calculatedColumnFormula>
    </tableColumn>
    <tableColumn id="1" xr3:uid="{494EBF02-D21A-41E4-881E-6BEAB9F2DE69}" name="CONDICION" dataDxfId="268" totalsRowDxfId="267"/>
    <tableColumn id="4" xr3:uid="{D3567FD5-201F-4F01-A014-257F43739526}" name="V 1°" dataDxfId="266">
      <calculatedColumnFormula>IFERROR(LOOKUP("SATURADOS",PLANTAS[[#This Row],[CONDICION]],PLANTAS[[#This Row],[CANT]]),0)</calculatedColumnFormula>
    </tableColumn>
    <tableColumn id="2" xr3:uid="{3252D219-E86D-40C7-8B2A-09C2A7D59EE4}" name="V 2°" dataDxfId="265">
      <calculatedColumnFormula>IFERROR(LOOKUP("SATURADOS",PLANTAS[[#This Row],[CONDICION]],PLANTAS[[#This Row],[CANT ]]),0)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7A9501-4083-4530-99A3-1DD7B0183C21}" name="Tabla186" displayName="Tabla186" ref="B13:F28" totalsRowShown="0" headerRowDxfId="264" dataDxfId="262" headerRowBorderDxfId="263" tableBorderDxfId="261" totalsRowBorderDxfId="260">
  <autoFilter ref="B13:F28" xr:uid="{E97A9501-4083-4530-99A3-1DD7B0183C21}"/>
  <tableColumns count="5">
    <tableColumn id="17" xr3:uid="{50C4AD92-29EB-452C-AEBD-2E102B49CEDF}" name="1º ETAPA" dataDxfId="259" totalsRowDxfId="258"/>
    <tableColumn id="1" xr3:uid="{79F815F8-EDA9-494A-9AB5-7C5BA97A1CCE}" name="CANT ISTA" dataDxfId="257" totalsRowDxfId="256">
      <calculatedColumnFormula>SUMIF(REFUELLERS[1º ETAPA],Tabla186[[#This Row],[1º ETAPA]],REFUELLERS[CANT])</calculatedColumnFormula>
    </tableColumn>
    <tableColumn id="3" xr3:uid="{7D2154E1-63F2-4B2A-9C1C-5670676B2B09}" name="PARA CAMB" dataDxfId="255" totalsRowDxfId="254">
      <calculatedColumnFormula>SUMIF(REFUELLERS[1º ETAPA],Tabla186[[#This Row],[1º ETAPA]],REFUELLERS[V 1°])</calculatedColumnFormula>
    </tableColumn>
    <tableColumn id="13" xr3:uid="{04AB7934-A4A3-4C32-841C-A6750B62A64E}" name="DÓLAR" dataDxfId="253" dataCellStyle="Moneda">
      <calculatedColumnFormula>IF(D14=0,"0",(IFERROR(LOOKUP(B14,Costos!$B$5:$B$100,Costos!$C$5:$C$100),0)))*Tabla186[[#This Row],[PARA CAMB]]</calculatedColumnFormula>
    </tableColumn>
    <tableColumn id="26" xr3:uid="{2405B007-0F3B-4A65-B013-C46A193B48A2}" name="PESOS" dataDxfId="252" dataCellStyle="Moneda">
      <calculatedColumnFormula>Tabla186[[#This Row],[DÓLAR]]*$F$5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19AE7E-729A-4A67-ADDB-DB4A0E7BF409}" name="Tabla1869" displayName="Tabla1869" ref="I13:M24" totalsRowShown="0" headerRowDxfId="251" dataDxfId="249" headerRowBorderDxfId="250" tableBorderDxfId="248" totalsRowBorderDxfId="247">
  <autoFilter ref="I13:M24" xr:uid="{2919AE7E-729A-4A67-ADDB-DB4A0E7BF409}"/>
  <tableColumns count="5">
    <tableColumn id="17" xr3:uid="{229A578B-8B6C-40BA-9464-867B51F24E2D}" name="2º ETAPA" dataDxfId="246" totalsRowDxfId="245"/>
    <tableColumn id="1" xr3:uid="{CFD0E60E-D296-4228-839A-B915440DA5CB}" name="CANT ISTA" dataDxfId="244" totalsRowDxfId="243">
      <calculatedColumnFormula>SUMIF(REFUELLERS[2º ETAPA],Tabla1869[[#This Row],[2º ETAPA]],REFUELLERS[[CANT ]])</calculatedColumnFormula>
    </tableColumn>
    <tableColumn id="3" xr3:uid="{BB3FBAD4-74E5-4165-B165-71A6F2504C3C}" name="PARA CAMB" dataDxfId="242" totalsRowDxfId="241">
      <calculatedColumnFormula>SUMIF(REFUELLERS[2º ETAPA],Tabla1869[[#This Row],[2º ETAPA]],REFUELLERS[V 2°])</calculatedColumnFormula>
    </tableColumn>
    <tableColumn id="13" xr3:uid="{777D80EC-430A-4E99-BCDF-B7731D640836}" name="DÓLAR" dataDxfId="240" dataCellStyle="Moneda">
      <calculatedColumnFormula>IF(K14=0,"0",(IFERROR(LOOKUP(I14,Costos!$B$5:$B$100,Costos!$C$5:$C$100),0)))*Tabla1869[[#This Row],[PARA CAMB]]</calculatedColumnFormula>
    </tableColumn>
    <tableColumn id="26" xr3:uid="{DDDEBCF8-5262-423D-9C09-6E7016EDDD79}" name="PESOS" dataDxfId="239" dataCellStyle="Moneda">
      <calculatedColumnFormula>Tabla1869[[#This Row],[DÓLAR]]*$F$5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08DD45-1E0E-4681-A1E9-B6766AF59CC2}" name="Tabla18610" displayName="Tabla18610" ref="B36:F49" totalsRowShown="0" headerRowDxfId="238" dataDxfId="236" headerRowBorderDxfId="237" tableBorderDxfId="235" totalsRowBorderDxfId="234">
  <autoFilter ref="B36:F49" xr:uid="{6508DD45-1E0E-4681-A1E9-B6766AF59CC2}"/>
  <tableColumns count="5">
    <tableColumn id="17" xr3:uid="{3D7A7D61-8EEA-482A-AAA9-6E8B64C801A7}" name="1º ETAPA" dataDxfId="233" totalsRowDxfId="232"/>
    <tableColumn id="1" xr3:uid="{B2694DA8-89D3-42FD-A929-897BC2856DE7}" name="CANT ISTA" dataDxfId="231" totalsRowDxfId="230">
      <calculatedColumnFormula>SUMIF(PLANTAS[1º ETAPA],Tabla18610[[#This Row],[1º ETAPA]],PLANTAS[CANT])</calculatedColumnFormula>
    </tableColumn>
    <tableColumn id="3" xr3:uid="{AA6BA131-BF28-429A-96DE-9BE5F98B82F1}" name="PARA CAMB" dataDxfId="229" totalsRowDxfId="228">
      <calculatedColumnFormula>SUMIF(PLANTAS[1º ETAPA],Tabla18610[[#This Row],[1º ETAPA]],PLANTAS[V 1°])</calculatedColumnFormula>
    </tableColumn>
    <tableColumn id="13" xr3:uid="{F246B1EC-A63F-42F2-8EA5-C02CBC9B18BB}" name="DÓLAR" dataDxfId="227" dataCellStyle="Moneda">
      <calculatedColumnFormula>IF(D37=0,"0",(IFERROR(LOOKUP(B37,Costos!$B$5:$B$100,Costos!$C$5:$C$100),0)))*Tabla18610[[#This Row],[PARA CAMB]]</calculatedColumnFormula>
    </tableColumn>
    <tableColumn id="26" xr3:uid="{326E63E3-73B4-40E6-968E-0C923A35D371}" name="PESOS" dataDxfId="226" dataCellStyle="Moneda">
      <calculatedColumnFormula>Tabla18610[[#This Row],[DÓLAR]]*$F$5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78689F-CD29-43DB-8AF3-C05E532AC37C}" name="Tabla186913" displayName="Tabla186913" ref="I36:M51" totalsRowShown="0" headerRowDxfId="225" dataDxfId="223" headerRowBorderDxfId="224" tableBorderDxfId="222" totalsRowBorderDxfId="221">
  <autoFilter ref="I36:M51" xr:uid="{BE78689F-CD29-43DB-8AF3-C05E532AC37C}"/>
  <tableColumns count="5">
    <tableColumn id="17" xr3:uid="{FAAA1570-D02E-4123-9F81-AC42E4C5C870}" name="2º ETAPA" dataDxfId="220" totalsRowDxfId="219"/>
    <tableColumn id="1" xr3:uid="{5DB38071-2738-4F86-A602-77B9D98EB108}" name="CANT ISTA" dataDxfId="218" totalsRowDxfId="217">
      <calculatedColumnFormula>SUMIF(PLANTAS[2º ETAPA],Tabla186913[[#This Row],[2º ETAPA]],PLANTAS[[CANT ]])</calculatedColumnFormula>
    </tableColumn>
    <tableColumn id="3" xr3:uid="{646EB73A-61BE-4395-9D7C-E3F98509C94E}" name="PARA CAMB" dataDxfId="216" totalsRowDxfId="215">
      <calculatedColumnFormula>SUMIF(PLANTAS[2º ETAPA],Tabla186913[[#This Row],[2º ETAPA]],PLANTAS[V 2°])</calculatedColumnFormula>
    </tableColumn>
    <tableColumn id="13" xr3:uid="{F6045241-001E-41CD-AB14-FF04C974535D}" name="DÓLAR" dataDxfId="214" dataCellStyle="Moneda">
      <calculatedColumnFormula>IF(K37=0,"0",(IFERROR(LOOKUP(I37,Costos!$B$5:$B$100,Costos!$C$5:$C$100),0)))*Tabla186913[[#This Row],[PARA CAMB]]</calculatedColumnFormula>
    </tableColumn>
    <tableColumn id="26" xr3:uid="{A15E354E-F886-443A-A0BE-8B75E6DFE00A}" name="PESOS" dataDxfId="213" dataCellStyle="Moneda">
      <calculatedColumnFormula>Tabla186913[[#This Row],[DÓLAR]]*$F$5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F2BDA9-870C-4C6A-ADAD-6D9E6F7E5796}" name="Tabla1861014" displayName="Tabla1861014" ref="B59:F81" totalsRowShown="0" headerRowDxfId="212" dataDxfId="210" headerRowBorderDxfId="211" tableBorderDxfId="209" totalsRowBorderDxfId="208">
  <autoFilter ref="B59:F81" xr:uid="{74F2BDA9-870C-4C6A-ADAD-6D9E6F7E5796}"/>
  <tableColumns count="5">
    <tableColumn id="17" xr3:uid="{617B0228-BB86-4088-804B-7CEAE36C49C3}" name="1º ETAPA" dataDxfId="207" totalsRowDxfId="206"/>
    <tableColumn id="1" xr3:uid="{FE5267FA-E2A1-422F-A002-06BDE526864B}" name="CANT ISTA" dataDxfId="205" totalsRowDxfId="204">
      <calculatedColumnFormula>SUMIF($B$14:$B$49,Tabla1861014[[#This Row],[1º ETAPA]],$C$14:$C$49)</calculatedColumnFormula>
    </tableColumn>
    <tableColumn id="3" xr3:uid="{C72193D6-021C-4119-9C7A-01D2CEDC3E0C}" name="PARA CAMB" dataDxfId="203" totalsRowDxfId="202">
      <calculatedColumnFormula>SUMIF($B$14:$B$49,Tabla1861014[[#This Row],[1º ETAPA]],$D$14:$D$49)</calculatedColumnFormula>
    </tableColumn>
    <tableColumn id="13" xr3:uid="{E2387C7A-3D3A-495B-9F4B-76EE82373E4C}" name="DÓLAR" dataDxfId="201" dataCellStyle="Moneda">
      <calculatedColumnFormula>IF(D60=0,"0",(IFERROR(LOOKUP(B60,Costos!$B$5:$B$100,Costos!$C$5:$C$100),0)))*Tabla1861014[[#This Row],[PARA CAMB]]</calculatedColumnFormula>
    </tableColumn>
    <tableColumn id="26" xr3:uid="{08355655-6546-4442-87A2-774670C89FBA}" name="PESOS" dataDxfId="200" dataCellStyle="Moneda">
      <calculatedColumnFormula>Tabla1861014[[#This Row],[DÓLAR]]*$F$5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8A7890-1CC3-43D3-98A6-5051C3318B31}" name="Tabla18691315" displayName="Tabla18691315" ref="I59:M83" totalsRowShown="0" headerRowDxfId="199" dataDxfId="197" headerRowBorderDxfId="198" tableBorderDxfId="196" totalsRowBorderDxfId="195">
  <autoFilter ref="I59:M83" xr:uid="{C68A7890-1CC3-43D3-98A6-5051C3318B31}"/>
  <tableColumns count="5">
    <tableColumn id="17" xr3:uid="{01CDD2BA-E1D2-40DD-B14F-60187082EBEF}" name="2º ETAPA" dataDxfId="194"/>
    <tableColumn id="1" xr3:uid="{CCB1017B-1E2F-47D4-A2B4-53160740F394}" name="CANT ISTA" dataDxfId="193" totalsRowDxfId="192">
      <calculatedColumnFormula>SUMIF($I$14:$I$51,Tabla18691315[[#This Row],[2º ETAPA]],$J$14:$J$51)</calculatedColumnFormula>
    </tableColumn>
    <tableColumn id="3" xr3:uid="{14D92682-F5FC-4ABD-99C8-03BDA7640F70}" name="PARA CAMB" dataDxfId="191" totalsRowDxfId="190">
      <calculatedColumnFormula>SUMIF($I$14:$I$51,Tabla18691315[[#This Row],[2º ETAPA]],$K$14:$K$51)</calculatedColumnFormula>
    </tableColumn>
    <tableColumn id="13" xr3:uid="{989E462E-0B8D-4BAA-9A3A-4AF2C2B12C9D}" name="DÓLAR" dataDxfId="189" dataCellStyle="Moneda">
      <calculatedColumnFormula>IF(K60=0,"0",(IFERROR(LOOKUP(Tabla18691315[[#This Row],[2º ETAPA]],Costos!$B$5:$B$100,Costos!$C$5:$C$100),0)))*Tabla18691315[[#This Row],[PARA CAMB]]</calculatedColumnFormula>
    </tableColumn>
    <tableColumn id="26" xr3:uid="{7A217E92-4979-4900-92ED-951A45937F60}" name="PESOS" dataDxfId="188" dataCellStyle="Moneda">
      <calculatedColumnFormula>Tabla18691315[[#This Row],[DÓLAR]]*$F$5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30201-FA4D-432D-AB9B-D452B5727AD3}" name="Tabla33" displayName="Tabla33" ref="B4:G26" totalsRowShown="0" headerRowDxfId="187" dataDxfId="185" headerRowBorderDxfId="186" tableBorderDxfId="184">
  <autoFilter ref="B4:G26" xr:uid="{F7530201-FA4D-432D-AB9B-D452B5727AD3}"/>
  <sortState xmlns:xlrd2="http://schemas.microsoft.com/office/spreadsheetml/2017/richdata2" ref="B5:G26">
    <sortCondition ref="B4:B26"/>
  </sortState>
  <tableColumns count="6">
    <tableColumn id="4" xr3:uid="{C2008BE4-739F-4618-85A7-A4D3504D45FF}" name="REFERENCIA" dataDxfId="183"/>
    <tableColumn id="8" xr3:uid="{DFEDCDFE-5FA0-46AF-8C74-F17CE560F140}" name="VALOR US$" dataDxfId="182" dataCellStyle="Moneda"/>
    <tableColumn id="7" xr3:uid="{7535175C-23E3-4BE4-85AA-D4FC68F9A8B9}" name="VALOR COL$" dataDxfId="181" dataCellStyle="Moneda">
      <calculatedColumnFormula>C5*$C$1</calculatedColumnFormula>
    </tableColumn>
    <tableColumn id="5" xr3:uid="{290D0AA6-02AB-47B7-A665-0EB1773E71D6}" name="CANTIDAD" dataDxfId="180" dataCellStyle="Moneda"/>
    <tableColumn id="9" xr3:uid="{6957D5EC-75A4-45D8-955E-086CD979EC6B}" name="TOTAL US$" dataDxfId="179" dataCellStyle="Moneda">
      <calculatedColumnFormula>Tabla33[[#This Row],[VALOR US$]]*Tabla33[[#This Row],[CANTIDAD]]</calculatedColumnFormula>
    </tableColumn>
    <tableColumn id="6" xr3:uid="{E9177C74-8330-43C0-9494-6D2E88CFD29D}" name="TOTAL COL$" dataDxfId="178" dataCellStyle="Moneda">
      <calculatedColumnFormula>Tabla33[[#This Row],[TOTAL US$]]*$C$1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90AB68-B932-46DA-AE14-26CC62C8AA2D}" name="Tabla333" displayName="Tabla333" ref="J4:O24" totalsRowShown="0" headerRowDxfId="177" dataDxfId="175" headerRowBorderDxfId="176" tableBorderDxfId="174">
  <autoFilter ref="J4:O24" xr:uid="{F690AB68-B932-46DA-AE14-26CC62C8AA2D}"/>
  <sortState xmlns:xlrd2="http://schemas.microsoft.com/office/spreadsheetml/2017/richdata2" ref="J5:O24">
    <sortCondition ref="J4:J24"/>
  </sortState>
  <tableColumns count="6">
    <tableColumn id="4" xr3:uid="{65E19116-2EE0-49B0-A923-DC99E25FCCD3}" name="REFERENCIA" dataDxfId="173"/>
    <tableColumn id="8" xr3:uid="{920CD3F9-FF68-46C9-B6DB-F20223F82E59}" name="VALOR US$" dataDxfId="172" dataCellStyle="Moneda"/>
    <tableColumn id="7" xr3:uid="{4213E333-260D-4EB6-96EA-2EA8EAE966C3}" name="VALOR COL$" dataDxfId="171" dataCellStyle="Moneda">
      <calculatedColumnFormula>K5*$C$1</calculatedColumnFormula>
    </tableColumn>
    <tableColumn id="5" xr3:uid="{88FE8811-B5F3-4369-BA48-6DAF4B71E1FB}" name="CANTIDAD" dataDxfId="170" dataCellStyle="Moneda"/>
    <tableColumn id="9" xr3:uid="{2B22595F-068D-4512-8D89-012F2F78EABA}" name="TOTAL US$" dataDxfId="169" dataCellStyle="Moneda">
      <calculatedColumnFormula>Tabla333[[#This Row],[VALOR US$]]*Tabla333[[#This Row],[CANTIDAD]]</calculatedColumnFormula>
    </tableColumn>
    <tableColumn id="6" xr3:uid="{8A891D4C-F0E7-4694-A690-A45961EBDA4C}" name="TOTAL COL$" dataDxfId="168" dataCellStyle="Moneda">
      <calculatedColumnFormula>Tabla333[[#This Row],[TOTAL US$]]*$C$1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19607D-EC23-419D-8C06-EC2839ED0B41}" name="Tabla177" displayName="Tabla177" ref="B3:E81" totalsRowShown="0" headerRowDxfId="167" dataDxfId="165" headerRowBorderDxfId="166" tableBorderDxfId="164" totalsRowBorderDxfId="163">
  <autoFilter ref="B3:E81" xr:uid="{1519607D-EC23-419D-8C06-EC2839ED0B41}"/>
  <sortState xmlns:xlrd2="http://schemas.microsoft.com/office/spreadsheetml/2017/richdata2" ref="B4:E81">
    <sortCondition ref="B3:B81"/>
  </sortState>
  <tableColumns count="4">
    <tableColumn id="3" xr3:uid="{CF61B764-00D4-47D7-9C82-D216C7F69719}" name="Velcon" dataDxfId="162"/>
    <tableColumn id="1" xr3:uid="{E49F38CA-287A-42C6-AD27-EC91E45E0B76}" name="COSTO" dataDxfId="161"/>
    <tableColumn id="4" xr3:uid="{3FEDA47D-E95B-4B71-98C9-9B837E26B124}" name="Facet" dataDxfId="160"/>
    <tableColumn id="2" xr3:uid="{E612120B-EB94-47E3-B871-1C4192B898B4}" name="COSTO " dataDxfId="159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2EC059-3EE5-43D2-972B-413844C35D49}" name="Tabla7" displayName="Tabla7" ref="B3:Y36" headerRowDxfId="158" dataDxfId="156" totalsRowDxfId="154" headerRowBorderDxfId="157" tableBorderDxfId="155">
  <autoFilter ref="B3:Y36" xr:uid="{2C2EC059-3EE5-43D2-972B-413844C35D49}"/>
  <sortState xmlns:xlrd2="http://schemas.microsoft.com/office/spreadsheetml/2017/richdata2" ref="B4:Y36">
    <sortCondition ref="B3:B36"/>
  </sortState>
  <tableColumns count="24">
    <tableColumn id="2" xr3:uid="{C3C56038-9C67-4A4C-8C7A-337450DE1739}" name="MOVIL " totalsRowLabel="Total" dataDxfId="153" totalsRowDxfId="152"/>
    <tableColumn id="3" xr3:uid="{4B64DA9E-9172-4C6D-8132-E134A1D2102B}" name="REFUELLER " dataDxfId="151" totalsRowDxfId="150"/>
    <tableColumn id="1" xr3:uid="{BCB0838E-3DCE-43FE-9392-A4ED135B0352}" name="MODELO" dataDxfId="149" totalsRowDxfId="148" dataCellStyle="Millares"/>
    <tableColumn id="16" xr3:uid="{00F6D561-3E1F-4233-AFB5-51144AACD3B9}" name="CAP TK" dataDxfId="147" totalsRowDxfId="146" dataCellStyle="Millares"/>
    <tableColumn id="5" xr3:uid="{93FC72B6-3AA8-428E-9F27-1F30958878CA}" name="PRODUCTO" dataDxfId="145" totalsRowDxfId="144"/>
    <tableColumn id="17" xr3:uid="{B1FC50C9-FB1D-4685-9537-F25D70C80E9D}" name="TIPO" dataDxfId="143" totalsRowDxfId="142"/>
    <tableColumn id="7" xr3:uid="{A0FD021C-E7FE-4883-9CED-E5867E35657D}" name="MODELO2" dataDxfId="141" totalsRowDxfId="140"/>
    <tableColumn id="6" xr3:uid="{D9C4E091-62D8-4640-8CE8-19C6B26AFDC8}" name="S/N" dataDxfId="139" totalsRowDxfId="138"/>
    <tableColumn id="18" xr3:uid="{C44E3B50-D067-4C40-9650-E483D0038361}" name="MARCA " dataDxfId="137"/>
    <tableColumn id="9" xr3:uid="{6B7C8845-E001-4972-BEFA-404DD2182008}" name="Cant.1" dataDxfId="136" totalsRowDxfId="135"/>
    <tableColumn id="10" xr3:uid="{FD30857E-395C-4831-83C9-810EF09E60B3}" name="1º Etapa" dataDxfId="134" totalsRowDxfId="133"/>
    <tableColumn id="8" xr3:uid="{FD64E45E-A265-44C4-8124-E572316E7789}" name="Cant 2" dataDxfId="132" totalsRowDxfId="131"/>
    <tableColumn id="13" xr3:uid="{EEEB7996-D4F1-4480-A6B3-6CAB09A03634}" name="2º Etapa" dataDxfId="130" totalsRowDxfId="129"/>
    <tableColumn id="12" xr3:uid="{30D09926-D268-435B-AA6E-7BA5749CF0A3}" name="Cambio Elementos" dataDxfId="128" totalsRowDxfId="127"/>
    <tableColumn id="19" xr3:uid="{F5F82481-00D7-4042-803A-90DE5ED93C5C}" name=" MAX (gls/min)" dataDxfId="126"/>
    <tableColumn id="20" xr3:uid="{2079CA24-8FD1-436A-89B7-82EE37E56C2B}" name="TIPO " dataDxfId="125"/>
    <tableColumn id="21" xr3:uid="{4F7E54DF-BF89-496F-BF83-4A15F4793EAE}" name="Superior" dataDxfId="124"/>
    <tableColumn id="22" xr3:uid="{C3BDB0A0-32BB-4EEE-B895-D62DF5134F27}" name="Lateral" dataDxfId="123"/>
    <tableColumn id="23" xr3:uid="{4AEC8AAE-9AC9-4BCC-86A5-D80D56302AEE}" name="FILTRO  (GLS)" dataDxfId="122"/>
    <tableColumn id="24" xr3:uid="{081F30DA-9555-4B92-837D-AF8D522064AA}" name="Diámetro Cm" dataDxfId="121"/>
    <tableColumn id="25" xr3:uid="{33336B71-70BC-424B-B510-1869856B2035}" name="Largo Cm" dataDxfId="120"/>
    <tableColumn id="26" xr3:uid="{60832742-5884-4E3A-BFB9-C803F13FB022}" name="Entrada" dataDxfId="119"/>
    <tableColumn id="27" xr3:uid="{489FCC19-2E74-4710-B060-9F7A57CEF3E8}" name="Salida" dataDxfId="118"/>
    <tableColumn id="28" xr3:uid="{4E44C1B2-9958-4432-A7A1-56AE527885E9}" name="OBSERVACIONES" totalsRowFunction="count" dataDxfId="117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4197C8-E5F9-44C6-9C62-4674CE901CB9}" name="Tabla3" displayName="Tabla3" ref="A3:O32" totalsRowCount="1" headerRowDxfId="116" dataDxfId="115" totalsRowDxfId="113" tableBorderDxfId="114">
  <autoFilter ref="A3:O31" xr:uid="{2B4197C8-E5F9-44C6-9C62-4674CE901CB9}"/>
  <sortState xmlns:xlrd2="http://schemas.microsoft.com/office/spreadsheetml/2017/richdata2" ref="A4:O31">
    <sortCondition ref="A3:A31"/>
  </sortState>
  <tableColumns count="15">
    <tableColumn id="1" xr3:uid="{3BE551FA-C864-4BD6-8A1B-1F97C2BFF2C2}" name="Nº" dataDxfId="112" totalsRowDxfId="111"/>
    <tableColumn id="2" xr3:uid="{84B1271F-7D77-4F3B-B5EA-0648C5DF07F5}" name="PLANTA " dataDxfId="110" totalsRowDxfId="109"/>
    <tableColumn id="3" xr3:uid="{6422397A-A911-4B09-ABDF-4467A1843D33}" name="UBICACIÓN" dataDxfId="108" totalsRowDxfId="107"/>
    <tableColumn id="4" xr3:uid="{48EC01CE-7FB6-41E5-BDCD-36DEB919043B}" name="PRODUCTO" dataDxfId="106" totalsRowDxfId="105"/>
    <tableColumn id="6" xr3:uid="{657740C7-B3B2-40CD-A823-8ADBC65C4F1C}" name="MODELO" dataDxfId="104" totalsRowDxfId="103"/>
    <tableColumn id="5" xr3:uid="{08BF99DC-1605-4828-A97B-311F351A6CAF}" name="S/N" dataDxfId="102" totalsRowDxfId="101"/>
    <tableColumn id="8" xr3:uid="{5B150380-361B-4B4B-B255-E039FBE09C85}" name="Cant.1" dataDxfId="100" totalsRowDxfId="99"/>
    <tableColumn id="9" xr3:uid="{9D68870D-B9CC-4B4F-936C-E4B93F3F356D}" name="1º Etapa Velcon" dataDxfId="98" totalsRowDxfId="97"/>
    <tableColumn id="15" xr3:uid="{E1058AA5-9103-4868-A132-75EE5EA82586}" name="1º Etapa    Facet" dataDxfId="96" totalsRowDxfId="95"/>
    <tableColumn id="34" xr3:uid="{944EFCF6-7A66-4C01-84FC-597D63F737EF}" name=" Próximo Cambio" dataDxfId="94" totalsRowDxfId="93"/>
    <tableColumn id="13" xr3:uid="{BF2D6693-6215-4B1A-8AAD-261E05DFC82E}" name="Cant 2" dataDxfId="92" totalsRowDxfId="91"/>
    <tableColumn id="12" xr3:uid="{7338D431-1544-4239-8719-461540C0CA8A}" name="2º Etapa Velcon" dataDxfId="90" totalsRowDxfId="89"/>
    <tableColumn id="16" xr3:uid="{485CDF5A-6697-4582-81F7-03CF54867BF7}" name="2º Etapa   Facet" dataDxfId="88" totalsRowDxfId="87"/>
    <tableColumn id="11" xr3:uid="{97EBABF7-CA42-431C-A56B-DE6549FD2F95}" name="2 Próximo Cambio" dataDxfId="86" totalsRowDxfId="85"/>
    <tableColumn id="31" xr3:uid="{0282B72C-D1F8-4341-BE55-D110A36D5093}" name="RATA FLUJO MAXIMA TRABAJO (gls/min)" dataDxfId="84" totalsRowDxfId="8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902-9158-433C-AF22-C90602AD8FC4}">
  <sheetPr codeName="Hoja1"/>
  <dimension ref="A1:V92"/>
  <sheetViews>
    <sheetView view="pageBreakPreview" topLeftCell="A33" zoomScale="90" zoomScaleNormal="70" zoomScaleSheetLayoutView="90" workbookViewId="0">
      <selection activeCell="M37" sqref="M37"/>
    </sheetView>
  </sheetViews>
  <sheetFormatPr baseColWidth="10" defaultColWidth="11.42578125" defaultRowHeight="21" customHeight="1" x14ac:dyDescent="0.25"/>
  <cols>
    <col min="1" max="1" width="4.7109375" style="132" customWidth="1"/>
    <col min="2" max="3" width="6.7109375" style="149" customWidth="1"/>
    <col min="4" max="4" width="16.7109375" style="149" customWidth="1"/>
    <col min="5" max="5" width="10.7109375" style="132" customWidth="1"/>
    <col min="6" max="7" width="9.7109375" style="132" customWidth="1"/>
    <col min="8" max="9" width="7.5703125" style="132" customWidth="1"/>
    <col min="10" max="10" width="11.7109375" style="132" customWidth="1"/>
    <col min="11" max="11" width="12.7109375" style="132" customWidth="1"/>
    <col min="12" max="12" width="8.7109375" style="132" customWidth="1"/>
    <col min="13" max="13" width="7.7109375" style="132" customWidth="1"/>
    <col min="14" max="14" width="12.7109375" style="133" customWidth="1"/>
    <col min="15" max="15" width="7.7109375" style="132" customWidth="1"/>
    <col min="16" max="16" width="12.7109375" style="132" customWidth="1"/>
    <col min="17" max="18" width="11.7109375" style="134" customWidth="1"/>
    <col min="19" max="19" width="10.7109375" style="132" customWidth="1"/>
    <col min="20" max="20" width="12.7109375" style="132" customWidth="1"/>
    <col min="21" max="22" width="6.7109375" style="132" hidden="1" customWidth="1"/>
    <col min="23" max="25" width="11.42578125" style="132"/>
    <col min="26" max="31" width="12.28515625" style="132" customWidth="1"/>
    <col min="32" max="259" width="11.42578125" style="132"/>
    <col min="260" max="260" width="28.140625" style="132" customWidth="1"/>
    <col min="261" max="261" width="19.7109375" style="132" customWidth="1"/>
    <col min="262" max="515" width="11.42578125" style="132"/>
    <col min="516" max="516" width="28.140625" style="132" customWidth="1"/>
    <col min="517" max="517" width="19.7109375" style="132" customWidth="1"/>
    <col min="518" max="771" width="11.42578125" style="132"/>
    <col min="772" max="772" width="28.140625" style="132" customWidth="1"/>
    <col min="773" max="773" width="19.7109375" style="132" customWidth="1"/>
    <col min="774" max="1027" width="11.42578125" style="132"/>
    <col min="1028" max="1028" width="28.140625" style="132" customWidth="1"/>
    <col min="1029" max="1029" width="19.7109375" style="132" customWidth="1"/>
    <col min="1030" max="1283" width="11.42578125" style="132"/>
    <col min="1284" max="1284" width="28.140625" style="132" customWidth="1"/>
    <col min="1285" max="1285" width="19.7109375" style="132" customWidth="1"/>
    <col min="1286" max="1539" width="11.42578125" style="132"/>
    <col min="1540" max="1540" width="28.140625" style="132" customWidth="1"/>
    <col min="1541" max="1541" width="19.7109375" style="132" customWidth="1"/>
    <col min="1542" max="1795" width="11.42578125" style="132"/>
    <col min="1796" max="1796" width="28.140625" style="132" customWidth="1"/>
    <col min="1797" max="1797" width="19.7109375" style="132" customWidth="1"/>
    <col min="1798" max="2051" width="11.42578125" style="132"/>
    <col min="2052" max="2052" width="28.140625" style="132" customWidth="1"/>
    <col min="2053" max="2053" width="19.7109375" style="132" customWidth="1"/>
    <col min="2054" max="2307" width="11.42578125" style="132"/>
    <col min="2308" max="2308" width="28.140625" style="132" customWidth="1"/>
    <col min="2309" max="2309" width="19.7109375" style="132" customWidth="1"/>
    <col min="2310" max="2563" width="11.42578125" style="132"/>
    <col min="2564" max="2564" width="28.140625" style="132" customWidth="1"/>
    <col min="2565" max="2565" width="19.7109375" style="132" customWidth="1"/>
    <col min="2566" max="2819" width="11.42578125" style="132"/>
    <col min="2820" max="2820" width="28.140625" style="132" customWidth="1"/>
    <col min="2821" max="2821" width="19.7109375" style="132" customWidth="1"/>
    <col min="2822" max="3075" width="11.42578125" style="132"/>
    <col min="3076" max="3076" width="28.140625" style="132" customWidth="1"/>
    <col min="3077" max="3077" width="19.7109375" style="132" customWidth="1"/>
    <col min="3078" max="3331" width="11.42578125" style="132"/>
    <col min="3332" max="3332" width="28.140625" style="132" customWidth="1"/>
    <col min="3333" max="3333" width="19.7109375" style="132" customWidth="1"/>
    <col min="3334" max="3587" width="11.42578125" style="132"/>
    <col min="3588" max="3588" width="28.140625" style="132" customWidth="1"/>
    <col min="3589" max="3589" width="19.7109375" style="132" customWidth="1"/>
    <col min="3590" max="3843" width="11.42578125" style="132"/>
    <col min="3844" max="3844" width="28.140625" style="132" customWidth="1"/>
    <col min="3845" max="3845" width="19.7109375" style="132" customWidth="1"/>
    <col min="3846" max="4099" width="11.42578125" style="132"/>
    <col min="4100" max="4100" width="28.140625" style="132" customWidth="1"/>
    <col min="4101" max="4101" width="19.7109375" style="132" customWidth="1"/>
    <col min="4102" max="4355" width="11.42578125" style="132"/>
    <col min="4356" max="4356" width="28.140625" style="132" customWidth="1"/>
    <col min="4357" max="4357" width="19.7109375" style="132" customWidth="1"/>
    <col min="4358" max="4611" width="11.42578125" style="132"/>
    <col min="4612" max="4612" width="28.140625" style="132" customWidth="1"/>
    <col min="4613" max="4613" width="19.7109375" style="132" customWidth="1"/>
    <col min="4614" max="4867" width="11.42578125" style="132"/>
    <col min="4868" max="4868" width="28.140625" style="132" customWidth="1"/>
    <col min="4869" max="4869" width="19.7109375" style="132" customWidth="1"/>
    <col min="4870" max="5123" width="11.42578125" style="132"/>
    <col min="5124" max="5124" width="28.140625" style="132" customWidth="1"/>
    <col min="5125" max="5125" width="19.7109375" style="132" customWidth="1"/>
    <col min="5126" max="5379" width="11.42578125" style="132"/>
    <col min="5380" max="5380" width="28.140625" style="132" customWidth="1"/>
    <col min="5381" max="5381" width="19.7109375" style="132" customWidth="1"/>
    <col min="5382" max="5635" width="11.42578125" style="132"/>
    <col min="5636" max="5636" width="28.140625" style="132" customWidth="1"/>
    <col min="5637" max="5637" width="19.7109375" style="132" customWidth="1"/>
    <col min="5638" max="5891" width="11.42578125" style="132"/>
    <col min="5892" max="5892" width="28.140625" style="132" customWidth="1"/>
    <col min="5893" max="5893" width="19.7109375" style="132" customWidth="1"/>
    <col min="5894" max="6147" width="11.42578125" style="132"/>
    <col min="6148" max="6148" width="28.140625" style="132" customWidth="1"/>
    <col min="6149" max="6149" width="19.7109375" style="132" customWidth="1"/>
    <col min="6150" max="6403" width="11.42578125" style="132"/>
    <col min="6404" max="6404" width="28.140625" style="132" customWidth="1"/>
    <col min="6405" max="6405" width="19.7109375" style="132" customWidth="1"/>
    <col min="6406" max="6659" width="11.42578125" style="132"/>
    <col min="6660" max="6660" width="28.140625" style="132" customWidth="1"/>
    <col min="6661" max="6661" width="19.7109375" style="132" customWidth="1"/>
    <col min="6662" max="6915" width="11.42578125" style="132"/>
    <col min="6916" max="6916" width="28.140625" style="132" customWidth="1"/>
    <col min="6917" max="6917" width="19.7109375" style="132" customWidth="1"/>
    <col min="6918" max="7171" width="11.42578125" style="132"/>
    <col min="7172" max="7172" width="28.140625" style="132" customWidth="1"/>
    <col min="7173" max="7173" width="19.7109375" style="132" customWidth="1"/>
    <col min="7174" max="7427" width="11.42578125" style="132"/>
    <col min="7428" max="7428" width="28.140625" style="132" customWidth="1"/>
    <col min="7429" max="7429" width="19.7109375" style="132" customWidth="1"/>
    <col min="7430" max="7683" width="11.42578125" style="132"/>
    <col min="7684" max="7684" width="28.140625" style="132" customWidth="1"/>
    <col min="7685" max="7685" width="19.7109375" style="132" customWidth="1"/>
    <col min="7686" max="7939" width="11.42578125" style="132"/>
    <col min="7940" max="7940" width="28.140625" style="132" customWidth="1"/>
    <col min="7941" max="7941" width="19.7109375" style="132" customWidth="1"/>
    <col min="7942" max="8195" width="11.42578125" style="132"/>
    <col min="8196" max="8196" width="28.140625" style="132" customWidth="1"/>
    <col min="8197" max="8197" width="19.7109375" style="132" customWidth="1"/>
    <col min="8198" max="8451" width="11.42578125" style="132"/>
    <col min="8452" max="8452" width="28.140625" style="132" customWidth="1"/>
    <col min="8453" max="8453" width="19.7109375" style="132" customWidth="1"/>
    <col min="8454" max="8707" width="11.42578125" style="132"/>
    <col min="8708" max="8708" width="28.140625" style="132" customWidth="1"/>
    <col min="8709" max="8709" width="19.7109375" style="132" customWidth="1"/>
    <col min="8710" max="8963" width="11.42578125" style="132"/>
    <col min="8964" max="8964" width="28.140625" style="132" customWidth="1"/>
    <col min="8965" max="8965" width="19.7109375" style="132" customWidth="1"/>
    <col min="8966" max="9219" width="11.42578125" style="132"/>
    <col min="9220" max="9220" width="28.140625" style="132" customWidth="1"/>
    <col min="9221" max="9221" width="19.7109375" style="132" customWidth="1"/>
    <col min="9222" max="9475" width="11.42578125" style="132"/>
    <col min="9476" max="9476" width="28.140625" style="132" customWidth="1"/>
    <col min="9477" max="9477" width="19.7109375" style="132" customWidth="1"/>
    <col min="9478" max="9731" width="11.42578125" style="132"/>
    <col min="9732" max="9732" width="28.140625" style="132" customWidth="1"/>
    <col min="9733" max="9733" width="19.7109375" style="132" customWidth="1"/>
    <col min="9734" max="9987" width="11.42578125" style="132"/>
    <col min="9988" max="9988" width="28.140625" style="132" customWidth="1"/>
    <col min="9989" max="9989" width="19.7109375" style="132" customWidth="1"/>
    <col min="9990" max="10243" width="11.42578125" style="132"/>
    <col min="10244" max="10244" width="28.140625" style="132" customWidth="1"/>
    <col min="10245" max="10245" width="19.7109375" style="132" customWidth="1"/>
    <col min="10246" max="10499" width="11.42578125" style="132"/>
    <col min="10500" max="10500" width="28.140625" style="132" customWidth="1"/>
    <col min="10501" max="10501" width="19.7109375" style="132" customWidth="1"/>
    <col min="10502" max="10755" width="11.42578125" style="132"/>
    <col min="10756" max="10756" width="28.140625" style="132" customWidth="1"/>
    <col min="10757" max="10757" width="19.7109375" style="132" customWidth="1"/>
    <col min="10758" max="11011" width="11.42578125" style="132"/>
    <col min="11012" max="11012" width="28.140625" style="132" customWidth="1"/>
    <col min="11013" max="11013" width="19.7109375" style="132" customWidth="1"/>
    <col min="11014" max="11267" width="11.42578125" style="132"/>
    <col min="11268" max="11268" width="28.140625" style="132" customWidth="1"/>
    <col min="11269" max="11269" width="19.7109375" style="132" customWidth="1"/>
    <col min="11270" max="11523" width="11.42578125" style="132"/>
    <col min="11524" max="11524" width="28.140625" style="132" customWidth="1"/>
    <col min="11525" max="11525" width="19.7109375" style="132" customWidth="1"/>
    <col min="11526" max="11779" width="11.42578125" style="132"/>
    <col min="11780" max="11780" width="28.140625" style="132" customWidth="1"/>
    <col min="11781" max="11781" width="19.7109375" style="132" customWidth="1"/>
    <col min="11782" max="12035" width="11.42578125" style="132"/>
    <col min="12036" max="12036" width="28.140625" style="132" customWidth="1"/>
    <col min="12037" max="12037" width="19.7109375" style="132" customWidth="1"/>
    <col min="12038" max="12291" width="11.42578125" style="132"/>
    <col min="12292" max="12292" width="28.140625" style="132" customWidth="1"/>
    <col min="12293" max="12293" width="19.7109375" style="132" customWidth="1"/>
    <col min="12294" max="12547" width="11.42578125" style="132"/>
    <col min="12548" max="12548" width="28.140625" style="132" customWidth="1"/>
    <col min="12549" max="12549" width="19.7109375" style="132" customWidth="1"/>
    <col min="12550" max="12803" width="11.42578125" style="132"/>
    <col min="12804" max="12804" width="28.140625" style="132" customWidth="1"/>
    <col min="12805" max="12805" width="19.7109375" style="132" customWidth="1"/>
    <col min="12806" max="13059" width="11.42578125" style="132"/>
    <col min="13060" max="13060" width="28.140625" style="132" customWidth="1"/>
    <col min="13061" max="13061" width="19.7109375" style="132" customWidth="1"/>
    <col min="13062" max="13315" width="11.42578125" style="132"/>
    <col min="13316" max="13316" width="28.140625" style="132" customWidth="1"/>
    <col min="13317" max="13317" width="19.7109375" style="132" customWidth="1"/>
    <col min="13318" max="13571" width="11.42578125" style="132"/>
    <col min="13572" max="13572" width="28.140625" style="132" customWidth="1"/>
    <col min="13573" max="13573" width="19.7109375" style="132" customWidth="1"/>
    <col min="13574" max="13827" width="11.42578125" style="132"/>
    <col min="13828" max="13828" width="28.140625" style="132" customWidth="1"/>
    <col min="13829" max="13829" width="19.7109375" style="132" customWidth="1"/>
    <col min="13830" max="14083" width="11.42578125" style="132"/>
    <col min="14084" max="14084" width="28.140625" style="132" customWidth="1"/>
    <col min="14085" max="14085" width="19.7109375" style="132" customWidth="1"/>
    <col min="14086" max="14339" width="11.42578125" style="132"/>
    <col min="14340" max="14340" width="28.140625" style="132" customWidth="1"/>
    <col min="14341" max="14341" width="19.7109375" style="132" customWidth="1"/>
    <col min="14342" max="14595" width="11.42578125" style="132"/>
    <col min="14596" max="14596" width="28.140625" style="132" customWidth="1"/>
    <col min="14597" max="14597" width="19.7109375" style="132" customWidth="1"/>
    <col min="14598" max="14851" width="11.42578125" style="132"/>
    <col min="14852" max="14852" width="28.140625" style="132" customWidth="1"/>
    <col min="14853" max="14853" width="19.7109375" style="132" customWidth="1"/>
    <col min="14854" max="15107" width="11.42578125" style="132"/>
    <col min="15108" max="15108" width="28.140625" style="132" customWidth="1"/>
    <col min="15109" max="15109" width="19.7109375" style="132" customWidth="1"/>
    <col min="15110" max="15363" width="11.42578125" style="132"/>
    <col min="15364" max="15364" width="28.140625" style="132" customWidth="1"/>
    <col min="15365" max="15365" width="19.7109375" style="132" customWidth="1"/>
    <col min="15366" max="15619" width="11.42578125" style="132"/>
    <col min="15620" max="15620" width="28.140625" style="132" customWidth="1"/>
    <col min="15621" max="15621" width="19.7109375" style="132" customWidth="1"/>
    <col min="15622" max="15875" width="11.42578125" style="132"/>
    <col min="15876" max="15876" width="28.140625" style="132" customWidth="1"/>
    <col min="15877" max="15877" width="19.7109375" style="132" customWidth="1"/>
    <col min="15878" max="16131" width="11.42578125" style="132"/>
    <col min="16132" max="16132" width="28.140625" style="132" customWidth="1"/>
    <col min="16133" max="16133" width="19.7109375" style="132" customWidth="1"/>
    <col min="16134" max="16370" width="11.42578125" style="132"/>
    <col min="16371" max="16384" width="10.85546875" style="132" customWidth="1"/>
  </cols>
  <sheetData>
    <row r="1" spans="1:22" ht="21" customHeight="1" x14ac:dyDescent="0.25">
      <c r="A1" s="387" t="s">
        <v>132</v>
      </c>
      <c r="B1" s="387"/>
      <c r="C1" s="388"/>
      <c r="D1" s="131">
        <f ca="1">TODAY()</f>
        <v>46017</v>
      </c>
      <c r="E1" s="389" t="s">
        <v>0</v>
      </c>
      <c r="F1" s="390"/>
      <c r="G1" s="390"/>
      <c r="H1" s="390"/>
      <c r="I1" s="391"/>
      <c r="R1" s="132"/>
      <c r="T1" s="305"/>
      <c r="U1" s="305"/>
    </row>
    <row r="2" spans="1:22" ht="9.9499999999999993" customHeight="1" x14ac:dyDescent="0.25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6"/>
      <c r="R2" s="132"/>
    </row>
    <row r="3" spans="1:22" ht="30" customHeight="1" x14ac:dyDescent="0.25">
      <c r="A3" s="382" t="s">
        <v>414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</row>
    <row r="4" spans="1:22" ht="21" customHeight="1" x14ac:dyDescent="0.25">
      <c r="A4" s="379" t="s">
        <v>413</v>
      </c>
      <c r="B4" s="380"/>
      <c r="C4" s="380"/>
      <c r="D4" s="380"/>
      <c r="E4" s="380"/>
      <c r="F4" s="380"/>
      <c r="G4" s="380"/>
      <c r="H4" s="380"/>
      <c r="I4" s="380"/>
      <c r="J4" s="381"/>
      <c r="K4" s="379" t="s">
        <v>10</v>
      </c>
      <c r="L4" s="380"/>
      <c r="M4" s="380"/>
      <c r="N4" s="380"/>
      <c r="O4" s="380"/>
      <c r="P4" s="380"/>
      <c r="Q4" s="384" t="s">
        <v>18</v>
      </c>
      <c r="R4" s="385"/>
      <c r="S4" s="385"/>
      <c r="T4" s="385"/>
      <c r="U4" s="385"/>
      <c r="V4" s="386"/>
    </row>
    <row r="5" spans="1:22" s="142" customFormat="1" ht="30" customHeight="1" x14ac:dyDescent="0.25">
      <c r="A5" s="327" t="s">
        <v>3</v>
      </c>
      <c r="B5" s="328" t="s">
        <v>441</v>
      </c>
      <c r="C5" s="328" t="s">
        <v>324</v>
      </c>
      <c r="D5" s="328" t="s">
        <v>4</v>
      </c>
      <c r="E5" s="329" t="s">
        <v>325</v>
      </c>
      <c r="F5" s="329" t="s">
        <v>6</v>
      </c>
      <c r="G5" s="329" t="s">
        <v>7</v>
      </c>
      <c r="H5" s="329" t="s">
        <v>419</v>
      </c>
      <c r="I5" s="329" t="s">
        <v>420</v>
      </c>
      <c r="J5" s="329" t="s">
        <v>9</v>
      </c>
      <c r="K5" s="329" t="s">
        <v>10</v>
      </c>
      <c r="L5" s="330" t="s">
        <v>11</v>
      </c>
      <c r="M5" s="330" t="s">
        <v>12</v>
      </c>
      <c r="N5" s="330" t="s">
        <v>13</v>
      </c>
      <c r="O5" s="330" t="s">
        <v>14</v>
      </c>
      <c r="P5" s="331" t="s">
        <v>15</v>
      </c>
      <c r="Q5" s="329" t="s">
        <v>16</v>
      </c>
      <c r="R5" s="329" t="s">
        <v>17</v>
      </c>
      <c r="S5" s="332" t="s">
        <v>18</v>
      </c>
      <c r="T5" s="329" t="s">
        <v>468</v>
      </c>
      <c r="U5" s="329" t="s">
        <v>463</v>
      </c>
      <c r="V5" s="329" t="s">
        <v>464</v>
      </c>
    </row>
    <row r="6" spans="1:22" ht="21" customHeight="1" x14ac:dyDescent="0.25">
      <c r="A6" s="303">
        <v>1</v>
      </c>
      <c r="B6" s="143" t="s">
        <v>444</v>
      </c>
      <c r="C6" s="143" t="s">
        <v>276</v>
      </c>
      <c r="D6" s="278" t="s">
        <v>19</v>
      </c>
      <c r="E6" s="278" t="s">
        <v>20</v>
      </c>
      <c r="F6" s="278" t="s">
        <v>21</v>
      </c>
      <c r="G6" s="377" t="s">
        <v>22</v>
      </c>
      <c r="H6" s="144">
        <v>2008</v>
      </c>
      <c r="I6" s="145">
        <v>1360</v>
      </c>
      <c r="J6" s="143" t="s">
        <v>89</v>
      </c>
      <c r="K6" s="143" t="s">
        <v>24</v>
      </c>
      <c r="L6" s="143" t="s">
        <v>25</v>
      </c>
      <c r="M6" s="143">
        <v>2</v>
      </c>
      <c r="N6" s="143" t="s">
        <v>433</v>
      </c>
      <c r="O6" s="143">
        <v>0</v>
      </c>
      <c r="P6" s="279" t="s">
        <v>27</v>
      </c>
      <c r="Q6" s="280">
        <v>46096</v>
      </c>
      <c r="R6" s="143">
        <f ca="1">REFUELLERS[[#This Row],[PROXIMO CAMBIO]]-$D$1</f>
        <v>79</v>
      </c>
      <c r="S6" s="143" t="str">
        <f ca="1">IF($D$1&lt;=REFUELLERS[[#This Row],[PROXIMO CAMBIO]],"VIGENTE","VENCIDO")</f>
        <v>VIGENTE</v>
      </c>
      <c r="T6" s="150" t="s">
        <v>438</v>
      </c>
      <c r="U6" s="150">
        <f>IFERROR(LOOKUP("SATURADOS",REFUELLERS[[#This Row],[CONDICION]],REFUELLERS[[#This Row],[CANT]]),0)</f>
        <v>2</v>
      </c>
      <c r="V6" s="150">
        <f>IFERROR(LOOKUP("SATURADOS",REFUELLERS[[#This Row],[CONDICION]],REFUELLERS[[#This Row],[CANT ]]),0)</f>
        <v>0</v>
      </c>
    </row>
    <row r="7" spans="1:22" ht="21" customHeight="1" x14ac:dyDescent="0.25">
      <c r="A7" s="303">
        <f>A6+1</f>
        <v>2</v>
      </c>
      <c r="B7" s="143" t="s">
        <v>442</v>
      </c>
      <c r="C7" s="143" t="s">
        <v>282</v>
      </c>
      <c r="D7" s="278" t="s">
        <v>19</v>
      </c>
      <c r="E7" s="278" t="s">
        <v>30</v>
      </c>
      <c r="F7" s="278" t="s">
        <v>31</v>
      </c>
      <c r="G7" s="377" t="s">
        <v>32</v>
      </c>
      <c r="H7" s="144">
        <v>1998</v>
      </c>
      <c r="I7" s="145">
        <v>4100</v>
      </c>
      <c r="J7" s="143" t="s">
        <v>23</v>
      </c>
      <c r="K7" s="143" t="s">
        <v>33</v>
      </c>
      <c r="L7" s="143" t="s">
        <v>25</v>
      </c>
      <c r="M7" s="143">
        <v>3</v>
      </c>
      <c r="N7" s="143" t="s">
        <v>34</v>
      </c>
      <c r="O7" s="143">
        <v>1</v>
      </c>
      <c r="P7" s="279" t="s">
        <v>35</v>
      </c>
      <c r="Q7" s="280">
        <v>46600</v>
      </c>
      <c r="R7" s="143">
        <f ca="1">REFUELLERS[[#This Row],[PROXIMO CAMBIO]]-$D$1</f>
        <v>583</v>
      </c>
      <c r="S7" s="143" t="str">
        <f ca="1">IF($D$1&lt;=REFUELLERS[[#This Row],[PROXIMO CAMBIO]],"VIGENTE","VENCIDO")</f>
        <v>VIGENTE</v>
      </c>
      <c r="T7" s="150"/>
      <c r="U7" s="150">
        <f>IFERROR(LOOKUP("SATURADOS",REFUELLERS[[#This Row],[CONDICION]],REFUELLERS[[#This Row],[CANT]]),0)</f>
        <v>0</v>
      </c>
      <c r="V7" s="150">
        <f>IFERROR(LOOKUP("SATURADOS",REFUELLERS[[#This Row],[CONDICION]],REFUELLERS[[#This Row],[CANT ]]),0)</f>
        <v>0</v>
      </c>
    </row>
    <row r="8" spans="1:22" ht="21" customHeight="1" x14ac:dyDescent="0.25">
      <c r="A8" s="303">
        <f>A7+1</f>
        <v>3</v>
      </c>
      <c r="B8" s="143" t="s">
        <v>453</v>
      </c>
      <c r="C8" s="143" t="s">
        <v>288</v>
      </c>
      <c r="D8" s="278" t="s">
        <v>19</v>
      </c>
      <c r="E8" s="278" t="s">
        <v>30</v>
      </c>
      <c r="F8" s="278" t="s">
        <v>38</v>
      </c>
      <c r="G8" s="377" t="s">
        <v>39</v>
      </c>
      <c r="H8" s="144">
        <v>2003</v>
      </c>
      <c r="I8" s="145">
        <v>5100</v>
      </c>
      <c r="J8" s="143" t="s">
        <v>23</v>
      </c>
      <c r="K8" s="143" t="s">
        <v>33</v>
      </c>
      <c r="L8" s="143" t="s">
        <v>40</v>
      </c>
      <c r="M8" s="143">
        <v>2</v>
      </c>
      <c r="N8" s="143" t="s">
        <v>41</v>
      </c>
      <c r="O8" s="143">
        <v>1</v>
      </c>
      <c r="P8" s="147" t="s">
        <v>306</v>
      </c>
      <c r="Q8" s="280">
        <v>46872</v>
      </c>
      <c r="R8" s="143">
        <f ca="1">REFUELLERS[[#This Row],[PROXIMO CAMBIO]]-$D$1</f>
        <v>855</v>
      </c>
      <c r="S8" s="143" t="str">
        <f ca="1">IF($D$1&lt;=REFUELLERS[[#This Row],[PROXIMO CAMBIO]],"VIGENTE","VENCIDO")</f>
        <v>VIGENTE</v>
      </c>
      <c r="T8" s="150"/>
      <c r="U8" s="150">
        <f>IFERROR(LOOKUP("SATURADOS",REFUELLERS[[#This Row],[CONDICION]],REFUELLERS[[#This Row],[CANT]]),0)</f>
        <v>0</v>
      </c>
      <c r="V8" s="150">
        <f>IFERROR(LOOKUP("SATURADOS",REFUELLERS[[#This Row],[CONDICION]],REFUELLERS[[#This Row],[CANT ]]),0)</f>
        <v>0</v>
      </c>
    </row>
    <row r="9" spans="1:22" ht="21" customHeight="1" x14ac:dyDescent="0.25">
      <c r="A9" s="303">
        <f t="shared" ref="A9:A36" si="0">A8+1</f>
        <v>4</v>
      </c>
      <c r="B9" s="143" t="s">
        <v>443</v>
      </c>
      <c r="C9" s="143" t="s">
        <v>250</v>
      </c>
      <c r="D9" s="278" t="s">
        <v>19</v>
      </c>
      <c r="E9" s="278" t="s">
        <v>30</v>
      </c>
      <c r="F9" s="278" t="s">
        <v>49</v>
      </c>
      <c r="G9" s="377" t="s">
        <v>50</v>
      </c>
      <c r="H9" s="144">
        <v>2006</v>
      </c>
      <c r="I9" s="145">
        <v>3500</v>
      </c>
      <c r="J9" s="143" t="s">
        <v>23</v>
      </c>
      <c r="K9" s="281" t="s">
        <v>33</v>
      </c>
      <c r="L9" s="281" t="s">
        <v>25</v>
      </c>
      <c r="M9" s="281">
        <v>3</v>
      </c>
      <c r="N9" s="281" t="s">
        <v>34</v>
      </c>
      <c r="O9" s="281">
        <v>1</v>
      </c>
      <c r="P9" s="282" t="s">
        <v>35</v>
      </c>
      <c r="Q9" s="280">
        <v>44368</v>
      </c>
      <c r="R9" s="143">
        <f ca="1">REFUELLERS[[#This Row],[PROXIMO CAMBIO]]-$D$1</f>
        <v>-1649</v>
      </c>
      <c r="S9" s="143" t="str">
        <f ca="1">IF($D$1&lt;=REFUELLERS[[#This Row],[PROXIMO CAMBIO]],"VIGENTE","VENCIDO")</f>
        <v>VENCIDO</v>
      </c>
      <c r="T9" s="150" t="s">
        <v>438</v>
      </c>
      <c r="U9" s="150">
        <f>IFERROR(LOOKUP("SATURADOS",REFUELLERS[[#This Row],[CONDICION]],REFUELLERS[[#This Row],[CANT]]),0)</f>
        <v>3</v>
      </c>
      <c r="V9" s="150">
        <f>IFERROR(LOOKUP("SATURADOS",REFUELLERS[[#This Row],[CONDICION]],REFUELLERS[[#This Row],[CANT ]]),0)</f>
        <v>1</v>
      </c>
    </row>
    <row r="10" spans="1:22" ht="21" customHeight="1" x14ac:dyDescent="0.25">
      <c r="A10" s="303">
        <f t="shared" si="0"/>
        <v>5</v>
      </c>
      <c r="B10" s="143" t="s">
        <v>442</v>
      </c>
      <c r="C10" s="143" t="s">
        <v>282</v>
      </c>
      <c r="D10" s="278" t="s">
        <v>53</v>
      </c>
      <c r="E10" s="278" t="s">
        <v>54</v>
      </c>
      <c r="F10" s="278" t="s">
        <v>55</v>
      </c>
      <c r="G10" s="377" t="s">
        <v>56</v>
      </c>
      <c r="H10" s="144">
        <v>1970</v>
      </c>
      <c r="I10" s="145">
        <v>8000</v>
      </c>
      <c r="J10" s="147" t="s">
        <v>23</v>
      </c>
      <c r="K10" s="143" t="s">
        <v>24</v>
      </c>
      <c r="L10" s="143" t="s">
        <v>25</v>
      </c>
      <c r="M10" s="143">
        <v>27</v>
      </c>
      <c r="N10" s="143" t="s">
        <v>57</v>
      </c>
      <c r="O10" s="143">
        <v>0</v>
      </c>
      <c r="P10" s="279" t="s">
        <v>27</v>
      </c>
      <c r="Q10" s="280">
        <v>42176</v>
      </c>
      <c r="R10" s="143">
        <f ca="1">REFUELLERS[[#This Row],[PROXIMO CAMBIO]]-$D$1</f>
        <v>-3841</v>
      </c>
      <c r="S10" s="143" t="str">
        <f ca="1">IF($D$1&lt;=REFUELLERS[[#This Row],[PROXIMO CAMBIO]],"VIGENTE","VENCIDO")</f>
        <v>VENCIDO</v>
      </c>
      <c r="T10" s="150" t="s">
        <v>438</v>
      </c>
      <c r="U10" s="150">
        <f>IFERROR(LOOKUP("SATURADOS",REFUELLERS[[#This Row],[CONDICION]],REFUELLERS[[#This Row],[CANT]]),0)</f>
        <v>27</v>
      </c>
      <c r="V10" s="150">
        <f>IFERROR(LOOKUP("SATURADOS",REFUELLERS[[#This Row],[CONDICION]],REFUELLERS[[#This Row],[CANT ]]),0)</f>
        <v>0</v>
      </c>
    </row>
    <row r="11" spans="1:22" ht="21" customHeight="1" x14ac:dyDescent="0.25">
      <c r="A11" s="303">
        <f t="shared" si="0"/>
        <v>6</v>
      </c>
      <c r="B11" s="143" t="s">
        <v>453</v>
      </c>
      <c r="C11" s="143" t="s">
        <v>288</v>
      </c>
      <c r="D11" s="278" t="s">
        <v>61</v>
      </c>
      <c r="E11" s="278" t="s">
        <v>62</v>
      </c>
      <c r="F11" s="278" t="s">
        <v>63</v>
      </c>
      <c r="G11" s="377" t="s">
        <v>64</v>
      </c>
      <c r="H11" s="144">
        <v>1989</v>
      </c>
      <c r="I11" s="145">
        <v>5000</v>
      </c>
      <c r="J11" s="143" t="s">
        <v>23</v>
      </c>
      <c r="K11" s="143" t="s">
        <v>33</v>
      </c>
      <c r="L11" s="143" t="s">
        <v>40</v>
      </c>
      <c r="M11" s="143">
        <v>3</v>
      </c>
      <c r="N11" s="143" t="s">
        <v>431</v>
      </c>
      <c r="O11" s="143">
        <v>1</v>
      </c>
      <c r="P11" s="147" t="s">
        <v>306</v>
      </c>
      <c r="Q11" s="280">
        <v>46925</v>
      </c>
      <c r="R11" s="143">
        <f ca="1">REFUELLERS[[#This Row],[PROXIMO CAMBIO]]-$D$1</f>
        <v>908</v>
      </c>
      <c r="S11" s="143" t="str">
        <f ca="1">IF($D$1&lt;=REFUELLERS[[#This Row],[PROXIMO CAMBIO]],"VIGENTE","VENCIDO")</f>
        <v>VIGENTE</v>
      </c>
      <c r="T11" s="150"/>
      <c r="U11" s="150">
        <f>IFERROR(LOOKUP("SATURADOS",REFUELLERS[[#This Row],[CONDICION]],REFUELLERS[[#This Row],[CANT]]),0)</f>
        <v>0</v>
      </c>
      <c r="V11" s="150">
        <f>IFERROR(LOOKUP("SATURADOS",REFUELLERS[[#This Row],[CONDICION]],REFUELLERS[[#This Row],[CANT ]]),0)</f>
        <v>0</v>
      </c>
    </row>
    <row r="12" spans="1:22" ht="21" customHeight="1" x14ac:dyDescent="0.25">
      <c r="A12" s="303">
        <f t="shared" si="0"/>
        <v>7</v>
      </c>
      <c r="B12" s="143" t="s">
        <v>442</v>
      </c>
      <c r="C12" s="143" t="s">
        <v>243</v>
      </c>
      <c r="D12" s="278" t="s">
        <v>19</v>
      </c>
      <c r="E12" s="278" t="s">
        <v>30</v>
      </c>
      <c r="F12" s="278" t="s">
        <v>67</v>
      </c>
      <c r="G12" s="377" t="s">
        <v>68</v>
      </c>
      <c r="H12" s="144">
        <v>1996</v>
      </c>
      <c r="I12" s="145">
        <v>3850</v>
      </c>
      <c r="J12" s="147" t="s">
        <v>23</v>
      </c>
      <c r="K12" s="143" t="s">
        <v>33</v>
      </c>
      <c r="L12" s="143" t="s">
        <v>25</v>
      </c>
      <c r="M12" s="143">
        <v>2</v>
      </c>
      <c r="N12" s="143" t="s">
        <v>51</v>
      </c>
      <c r="O12" s="143">
        <v>1</v>
      </c>
      <c r="P12" s="147" t="s">
        <v>69</v>
      </c>
      <c r="Q12" s="280">
        <v>44368</v>
      </c>
      <c r="R12" s="143">
        <f ca="1">REFUELLERS[[#This Row],[PROXIMO CAMBIO]]-$D$1</f>
        <v>-1649</v>
      </c>
      <c r="S12" s="143" t="str">
        <f ca="1">IF($D$1&lt;=REFUELLERS[[#This Row],[PROXIMO CAMBIO]],"VIGENTE","VENCIDO")</f>
        <v>VENCIDO</v>
      </c>
      <c r="T12" s="150" t="s">
        <v>438</v>
      </c>
      <c r="U12" s="150">
        <f>IFERROR(LOOKUP("SATURADOS",REFUELLERS[[#This Row],[CONDICION]],REFUELLERS[[#This Row],[CANT]]),0)</f>
        <v>2</v>
      </c>
      <c r="V12" s="150">
        <f>IFERROR(LOOKUP("SATURADOS",REFUELLERS[[#This Row],[CONDICION]],REFUELLERS[[#This Row],[CANT ]]),0)</f>
        <v>1</v>
      </c>
    </row>
    <row r="13" spans="1:22" ht="21" customHeight="1" x14ac:dyDescent="0.25">
      <c r="A13" s="303">
        <f t="shared" si="0"/>
        <v>8</v>
      </c>
      <c r="B13" s="143" t="s">
        <v>442</v>
      </c>
      <c r="C13" s="143" t="s">
        <v>278</v>
      </c>
      <c r="D13" s="278" t="s">
        <v>19</v>
      </c>
      <c r="E13" s="278" t="s">
        <v>44</v>
      </c>
      <c r="F13" s="278" t="s">
        <v>70</v>
      </c>
      <c r="G13" s="377" t="s">
        <v>71</v>
      </c>
      <c r="H13" s="144">
        <v>2006</v>
      </c>
      <c r="I13" s="145">
        <v>2265</v>
      </c>
      <c r="J13" s="143" t="s">
        <v>23</v>
      </c>
      <c r="K13" s="283" t="s">
        <v>33</v>
      </c>
      <c r="L13" s="283" t="s">
        <v>25</v>
      </c>
      <c r="M13" s="283">
        <v>2</v>
      </c>
      <c r="N13" s="283" t="s">
        <v>46</v>
      </c>
      <c r="O13" s="283">
        <v>1</v>
      </c>
      <c r="P13" s="284" t="s">
        <v>72</v>
      </c>
      <c r="Q13" s="280">
        <v>46559</v>
      </c>
      <c r="R13" s="143">
        <f ca="1">REFUELLERS[[#This Row],[PROXIMO CAMBIO]]-$D$1</f>
        <v>542</v>
      </c>
      <c r="S13" s="143" t="str">
        <f ca="1">IF($D$1&lt;=REFUELLERS[[#This Row],[PROXIMO CAMBIO]],"VIGENTE","VENCIDO")</f>
        <v>VIGENTE</v>
      </c>
      <c r="T13" s="150"/>
      <c r="U13" s="150">
        <f>IFERROR(LOOKUP("SATURADOS",REFUELLERS[[#This Row],[CONDICION]],REFUELLERS[[#This Row],[CANT]]),0)</f>
        <v>0</v>
      </c>
      <c r="V13" s="150">
        <f>IFERROR(LOOKUP("SATURADOS",REFUELLERS[[#This Row],[CONDICION]],REFUELLERS[[#This Row],[CANT ]]),0)</f>
        <v>0</v>
      </c>
    </row>
    <row r="14" spans="1:22" ht="21" customHeight="1" x14ac:dyDescent="0.25">
      <c r="A14" s="303">
        <f t="shared" si="0"/>
        <v>9</v>
      </c>
      <c r="B14" s="143" t="s">
        <v>447</v>
      </c>
      <c r="C14" s="143" t="s">
        <v>266</v>
      </c>
      <c r="D14" s="278" t="s">
        <v>61</v>
      </c>
      <c r="E14" s="278">
        <v>4900</v>
      </c>
      <c r="F14" s="278" t="s">
        <v>73</v>
      </c>
      <c r="G14" s="377" t="s">
        <v>74</v>
      </c>
      <c r="H14" s="144">
        <v>1990</v>
      </c>
      <c r="I14" s="145">
        <v>5120</v>
      </c>
      <c r="J14" s="143" t="s">
        <v>23</v>
      </c>
      <c r="K14" s="143" t="s">
        <v>33</v>
      </c>
      <c r="L14" s="143" t="s">
        <v>25</v>
      </c>
      <c r="M14" s="143">
        <v>3</v>
      </c>
      <c r="N14" s="143" t="s">
        <v>34</v>
      </c>
      <c r="O14" s="143">
        <v>1</v>
      </c>
      <c r="P14" s="147" t="s">
        <v>35</v>
      </c>
      <c r="Q14" s="280">
        <v>46783</v>
      </c>
      <c r="R14" s="143">
        <f ca="1">REFUELLERS[[#This Row],[PROXIMO CAMBIO]]-$D$1</f>
        <v>766</v>
      </c>
      <c r="S14" s="143" t="str">
        <f ca="1">IF($D$1&lt;=REFUELLERS[[#This Row],[PROXIMO CAMBIO]],"VIGENTE","VENCIDO")</f>
        <v>VIGENTE</v>
      </c>
      <c r="T14" s="150"/>
      <c r="U14" s="150">
        <f>IFERROR(LOOKUP("SATURADOS",REFUELLERS[[#This Row],[CONDICION]],REFUELLERS[[#This Row],[CANT]]),0)</f>
        <v>0</v>
      </c>
      <c r="V14" s="150">
        <f>IFERROR(LOOKUP("SATURADOS",REFUELLERS[[#This Row],[CONDICION]],REFUELLERS[[#This Row],[CANT ]]),0)</f>
        <v>0</v>
      </c>
    </row>
    <row r="15" spans="1:22" ht="21" customHeight="1" x14ac:dyDescent="0.25">
      <c r="A15" s="303">
        <f t="shared" si="0"/>
        <v>10</v>
      </c>
      <c r="B15" s="143" t="s">
        <v>453</v>
      </c>
      <c r="C15" s="143" t="s">
        <v>288</v>
      </c>
      <c r="D15" s="278" t="s">
        <v>61</v>
      </c>
      <c r="E15" s="278">
        <v>4900</v>
      </c>
      <c r="F15" s="278" t="s">
        <v>79</v>
      </c>
      <c r="G15" s="377" t="s">
        <v>80</v>
      </c>
      <c r="H15" s="144">
        <v>2000</v>
      </c>
      <c r="I15" s="145">
        <v>3150</v>
      </c>
      <c r="J15" s="143" t="s">
        <v>23</v>
      </c>
      <c r="K15" s="143" t="s">
        <v>33</v>
      </c>
      <c r="L15" s="143" t="s">
        <v>25</v>
      </c>
      <c r="M15" s="143">
        <v>3</v>
      </c>
      <c r="N15" s="143" t="s">
        <v>452</v>
      </c>
      <c r="O15" s="143">
        <v>1</v>
      </c>
      <c r="P15" s="147" t="s">
        <v>35</v>
      </c>
      <c r="Q15" s="280">
        <v>46194</v>
      </c>
      <c r="R15" s="143">
        <f ca="1">REFUELLERS[[#This Row],[PROXIMO CAMBIO]]-$D$1</f>
        <v>177</v>
      </c>
      <c r="S15" s="143" t="str">
        <f ca="1">IF($D$1&lt;=REFUELLERS[[#This Row],[PROXIMO CAMBIO]],"VIGENTE","VENCIDO")</f>
        <v>VIGENTE</v>
      </c>
      <c r="T15" s="150" t="s">
        <v>438</v>
      </c>
      <c r="U15" s="150">
        <f>IFERROR(LOOKUP("SATURADOS",REFUELLERS[[#This Row],[CONDICION]],REFUELLERS[[#This Row],[CANT]]),0)</f>
        <v>3</v>
      </c>
      <c r="V15" s="150">
        <f>IFERROR(LOOKUP("SATURADOS",REFUELLERS[[#This Row],[CONDICION]],REFUELLERS[[#This Row],[CANT ]]),0)</f>
        <v>1</v>
      </c>
    </row>
    <row r="16" spans="1:22" ht="21" customHeight="1" x14ac:dyDescent="0.25">
      <c r="A16" s="303">
        <f t="shared" si="0"/>
        <v>11</v>
      </c>
      <c r="B16" s="143" t="s">
        <v>453</v>
      </c>
      <c r="C16" s="143" t="s">
        <v>288</v>
      </c>
      <c r="D16" s="278" t="s">
        <v>61</v>
      </c>
      <c r="E16" s="278">
        <v>4900</v>
      </c>
      <c r="F16" s="278" t="s">
        <v>81</v>
      </c>
      <c r="G16" s="377" t="s">
        <v>82</v>
      </c>
      <c r="H16" s="144">
        <v>1990</v>
      </c>
      <c r="I16" s="145">
        <v>5000</v>
      </c>
      <c r="J16" s="143" t="s">
        <v>23</v>
      </c>
      <c r="K16" s="143" t="s">
        <v>33</v>
      </c>
      <c r="L16" s="143" t="s">
        <v>25</v>
      </c>
      <c r="M16" s="143">
        <v>3</v>
      </c>
      <c r="N16" s="143" t="s">
        <v>34</v>
      </c>
      <c r="O16" s="143">
        <v>1</v>
      </c>
      <c r="P16" s="279" t="s">
        <v>35</v>
      </c>
      <c r="Q16" s="280">
        <v>46783</v>
      </c>
      <c r="R16" s="143">
        <f ca="1">REFUELLERS[[#This Row],[PROXIMO CAMBIO]]-$D$1</f>
        <v>766</v>
      </c>
      <c r="S16" s="143" t="str">
        <f ca="1">IF($D$1&lt;=REFUELLERS[[#This Row],[PROXIMO CAMBIO]],"VIGENTE","VENCIDO")</f>
        <v>VIGENTE</v>
      </c>
      <c r="T16" s="150" t="s">
        <v>438</v>
      </c>
      <c r="U16" s="150">
        <f>IFERROR(LOOKUP("SATURADOS",REFUELLERS[[#This Row],[CONDICION]],REFUELLERS[[#This Row],[CANT]]),0)</f>
        <v>3</v>
      </c>
      <c r="V16" s="150">
        <f>IFERROR(LOOKUP("SATURADOS",REFUELLERS[[#This Row],[CONDICION]],REFUELLERS[[#This Row],[CANT ]]),0)</f>
        <v>1</v>
      </c>
    </row>
    <row r="17" spans="1:22" ht="21" customHeight="1" x14ac:dyDescent="0.25">
      <c r="A17" s="303">
        <f t="shared" si="0"/>
        <v>12</v>
      </c>
      <c r="B17" s="143" t="s">
        <v>442</v>
      </c>
      <c r="C17" s="143" t="s">
        <v>278</v>
      </c>
      <c r="D17" s="278" t="s">
        <v>19</v>
      </c>
      <c r="E17" s="278" t="s">
        <v>44</v>
      </c>
      <c r="F17" s="278" t="s">
        <v>83</v>
      </c>
      <c r="G17" s="377" t="s">
        <v>84</v>
      </c>
      <c r="H17" s="144">
        <v>2007</v>
      </c>
      <c r="I17" s="145">
        <v>2325</v>
      </c>
      <c r="J17" s="143" t="s">
        <v>23</v>
      </c>
      <c r="K17" s="285" t="s">
        <v>33</v>
      </c>
      <c r="L17" s="285" t="s">
        <v>25</v>
      </c>
      <c r="M17" s="285">
        <v>2</v>
      </c>
      <c r="N17" s="286" t="s">
        <v>46</v>
      </c>
      <c r="O17" s="285">
        <v>1</v>
      </c>
      <c r="P17" s="287" t="s">
        <v>66</v>
      </c>
      <c r="Q17" s="280">
        <v>46825</v>
      </c>
      <c r="R17" s="143">
        <f ca="1">REFUELLERS[[#This Row],[PROXIMO CAMBIO]]-$D$1</f>
        <v>808</v>
      </c>
      <c r="S17" s="143" t="str">
        <f ca="1">IF($D$1&lt;=REFUELLERS[[#This Row],[PROXIMO CAMBIO]],"VIGENTE","VENCIDO")</f>
        <v>VIGENTE</v>
      </c>
      <c r="T17" s="150"/>
      <c r="U17" s="150">
        <f>IFERROR(LOOKUP("SATURADOS",REFUELLERS[[#This Row],[CONDICION]],REFUELLERS[[#This Row],[CANT]]),0)</f>
        <v>0</v>
      </c>
      <c r="V17" s="150">
        <f>IFERROR(LOOKUP("SATURADOS",REFUELLERS[[#This Row],[CONDICION]],REFUELLERS[[#This Row],[CANT ]]),0)</f>
        <v>0</v>
      </c>
    </row>
    <row r="18" spans="1:22" ht="21" customHeight="1" x14ac:dyDescent="0.25">
      <c r="A18" s="303">
        <f t="shared" si="0"/>
        <v>13</v>
      </c>
      <c r="B18" s="143" t="s">
        <v>442</v>
      </c>
      <c r="C18" s="143" t="s">
        <v>286</v>
      </c>
      <c r="D18" s="278" t="s">
        <v>19</v>
      </c>
      <c r="E18" s="278" t="s">
        <v>44</v>
      </c>
      <c r="F18" s="278" t="s">
        <v>85</v>
      </c>
      <c r="G18" s="377" t="s">
        <v>86</v>
      </c>
      <c r="H18" s="144">
        <v>2007</v>
      </c>
      <c r="I18" s="145">
        <v>2325</v>
      </c>
      <c r="J18" s="147" t="s">
        <v>23</v>
      </c>
      <c r="K18" s="143" t="s">
        <v>33</v>
      </c>
      <c r="L18" s="143" t="s">
        <v>40</v>
      </c>
      <c r="M18" s="143">
        <v>2</v>
      </c>
      <c r="N18" s="143" t="s">
        <v>78</v>
      </c>
      <c r="O18" s="143">
        <v>1</v>
      </c>
      <c r="P18" s="279" t="s">
        <v>37</v>
      </c>
      <c r="Q18" s="280">
        <v>46624</v>
      </c>
      <c r="R18" s="143">
        <f ca="1">REFUELLERS[[#This Row],[PROXIMO CAMBIO]]-$D$1</f>
        <v>607</v>
      </c>
      <c r="S18" s="143" t="str">
        <f ca="1">IF($D$1&lt;=REFUELLERS[[#This Row],[PROXIMO CAMBIO]],"VIGENTE","VENCIDO")</f>
        <v>VIGENTE</v>
      </c>
      <c r="T18" s="150"/>
      <c r="U18" s="150">
        <f>IFERROR(LOOKUP("SATURADOS",REFUELLERS[[#This Row],[CONDICION]],REFUELLERS[[#This Row],[CANT]]),0)</f>
        <v>0</v>
      </c>
      <c r="V18" s="150">
        <f>IFERROR(LOOKUP("SATURADOS",REFUELLERS[[#This Row],[CONDICION]],REFUELLERS[[#This Row],[CANT ]]),0)</f>
        <v>0</v>
      </c>
    </row>
    <row r="19" spans="1:22" ht="21" customHeight="1" x14ac:dyDescent="0.25">
      <c r="A19" s="303">
        <f t="shared" si="0"/>
        <v>14</v>
      </c>
      <c r="B19" s="143" t="s">
        <v>447</v>
      </c>
      <c r="C19" s="143" t="s">
        <v>266</v>
      </c>
      <c r="D19" s="278" t="s">
        <v>19</v>
      </c>
      <c r="E19" s="278" t="s">
        <v>20</v>
      </c>
      <c r="F19" s="278" t="s">
        <v>87</v>
      </c>
      <c r="G19" s="377" t="s">
        <v>88</v>
      </c>
      <c r="H19" s="144">
        <v>2009</v>
      </c>
      <c r="I19" s="145">
        <v>1450</v>
      </c>
      <c r="J19" s="143" t="s">
        <v>89</v>
      </c>
      <c r="K19" s="283" t="s">
        <v>24</v>
      </c>
      <c r="L19" s="283" t="s">
        <v>25</v>
      </c>
      <c r="M19" s="283">
        <v>2</v>
      </c>
      <c r="N19" s="283" t="s">
        <v>65</v>
      </c>
      <c r="O19" s="283">
        <v>0</v>
      </c>
      <c r="P19" s="288" t="s">
        <v>27</v>
      </c>
      <c r="Q19" s="280">
        <v>45464</v>
      </c>
      <c r="R19" s="143">
        <f ca="1">REFUELLERS[[#This Row],[PROXIMO CAMBIO]]-$D$1</f>
        <v>-553</v>
      </c>
      <c r="S19" s="143" t="str">
        <f ca="1">IF($D$1&lt;=REFUELLERS[[#This Row],[PROXIMO CAMBIO]],"VIGENTE","VENCIDO")</f>
        <v>VENCIDO</v>
      </c>
      <c r="T19" s="150" t="s">
        <v>438</v>
      </c>
      <c r="U19" s="150">
        <f>IFERROR(LOOKUP("SATURADOS",REFUELLERS[[#This Row],[CONDICION]],REFUELLERS[[#This Row],[CANT]]),0)</f>
        <v>2</v>
      </c>
      <c r="V19" s="150">
        <f>IFERROR(LOOKUP("SATURADOS",REFUELLERS[[#This Row],[CONDICION]],REFUELLERS[[#This Row],[CANT ]]),0)</f>
        <v>0</v>
      </c>
    </row>
    <row r="20" spans="1:22" ht="21" customHeight="1" x14ac:dyDescent="0.25">
      <c r="A20" s="303">
        <f t="shared" si="0"/>
        <v>15</v>
      </c>
      <c r="B20" s="143" t="s">
        <v>453</v>
      </c>
      <c r="C20" s="143" t="s">
        <v>288</v>
      </c>
      <c r="D20" s="278" t="s">
        <v>61</v>
      </c>
      <c r="E20" s="278" t="s">
        <v>90</v>
      </c>
      <c r="F20" s="278" t="s">
        <v>91</v>
      </c>
      <c r="G20" s="377" t="s">
        <v>92</v>
      </c>
      <c r="H20" s="144">
        <v>1997</v>
      </c>
      <c r="I20" s="145">
        <v>5000</v>
      </c>
      <c r="J20" s="143" t="s">
        <v>23</v>
      </c>
      <c r="K20" s="143" t="s">
        <v>33</v>
      </c>
      <c r="L20" s="143" t="s">
        <v>25</v>
      </c>
      <c r="M20" s="143">
        <v>3</v>
      </c>
      <c r="N20" s="289" t="s">
        <v>452</v>
      </c>
      <c r="O20" s="143">
        <v>1</v>
      </c>
      <c r="P20" s="290" t="s">
        <v>306</v>
      </c>
      <c r="Q20" s="280">
        <v>46773</v>
      </c>
      <c r="R20" s="143">
        <f ca="1">REFUELLERS[[#This Row],[PROXIMO CAMBIO]]-$D$1</f>
        <v>756</v>
      </c>
      <c r="S20" s="143" t="str">
        <f ca="1">IF($D$1&lt;=REFUELLERS[[#This Row],[PROXIMO CAMBIO]],"VIGENTE","VENCIDO")</f>
        <v>VIGENTE</v>
      </c>
      <c r="T20" s="150" t="s">
        <v>438</v>
      </c>
      <c r="U20" s="150">
        <f>IFERROR(LOOKUP("SATURADOS",REFUELLERS[[#This Row],[CONDICION]],REFUELLERS[[#This Row],[CANT]]),0)</f>
        <v>3</v>
      </c>
      <c r="V20" s="150">
        <f>IFERROR(LOOKUP("SATURADOS",REFUELLERS[[#This Row],[CONDICION]],REFUELLERS[[#This Row],[CANT ]]),0)</f>
        <v>1</v>
      </c>
    </row>
    <row r="21" spans="1:22" ht="21" customHeight="1" x14ac:dyDescent="0.25">
      <c r="A21" s="303">
        <f t="shared" si="0"/>
        <v>16</v>
      </c>
      <c r="B21" s="143" t="s">
        <v>445</v>
      </c>
      <c r="C21" s="143" t="s">
        <v>418</v>
      </c>
      <c r="D21" s="278" t="s">
        <v>19</v>
      </c>
      <c r="E21" s="278" t="s">
        <v>20</v>
      </c>
      <c r="F21" s="278" t="s">
        <v>93</v>
      </c>
      <c r="G21" s="377" t="s">
        <v>94</v>
      </c>
      <c r="H21" s="144">
        <v>2010</v>
      </c>
      <c r="I21" s="145">
        <v>1585</v>
      </c>
      <c r="J21" s="143" t="s">
        <v>89</v>
      </c>
      <c r="K21" s="285" t="s">
        <v>95</v>
      </c>
      <c r="L21" s="285" t="s">
        <v>40</v>
      </c>
      <c r="M21" s="285">
        <v>1</v>
      </c>
      <c r="N21" s="285" t="s">
        <v>457</v>
      </c>
      <c r="O21" s="285">
        <v>0</v>
      </c>
      <c r="P21" s="291" t="s">
        <v>27</v>
      </c>
      <c r="Q21" s="280">
        <v>46352</v>
      </c>
      <c r="R21" s="143">
        <f ca="1">REFUELLERS[[#This Row],[PROXIMO CAMBIO]]-$D$1</f>
        <v>335</v>
      </c>
      <c r="S21" s="143" t="str">
        <f ca="1">IF($D$1&lt;=REFUELLERS[[#This Row],[PROXIMO CAMBIO]],"VIGENTE","VENCIDO")</f>
        <v>VIGENTE</v>
      </c>
      <c r="T21" s="150"/>
      <c r="U21" s="150">
        <f>IFERROR(LOOKUP("SATURADOS",REFUELLERS[[#This Row],[CONDICION]],REFUELLERS[[#This Row],[CANT]]),0)</f>
        <v>0</v>
      </c>
      <c r="V21" s="150">
        <f>IFERROR(LOOKUP("SATURADOS",REFUELLERS[[#This Row],[CONDICION]],REFUELLERS[[#This Row],[CANT ]]),0)</f>
        <v>0</v>
      </c>
    </row>
    <row r="22" spans="1:22" ht="21" customHeight="1" x14ac:dyDescent="0.25">
      <c r="A22" s="303">
        <f t="shared" si="0"/>
        <v>17</v>
      </c>
      <c r="B22" s="143"/>
      <c r="C22" s="143"/>
      <c r="D22" s="278" t="s">
        <v>96</v>
      </c>
      <c r="E22" s="278" t="s">
        <v>97</v>
      </c>
      <c r="F22" s="278" t="s">
        <v>98</v>
      </c>
      <c r="G22" s="377" t="s">
        <v>99</v>
      </c>
      <c r="H22" s="144">
        <v>1991</v>
      </c>
      <c r="I22" s="145">
        <v>4500</v>
      </c>
      <c r="J22" s="147" t="s">
        <v>23</v>
      </c>
      <c r="K22" s="143" t="s">
        <v>33</v>
      </c>
      <c r="L22" s="143" t="s">
        <v>40</v>
      </c>
      <c r="M22" s="143">
        <v>3</v>
      </c>
      <c r="N22" s="143" t="s">
        <v>41</v>
      </c>
      <c r="O22" s="143">
        <v>1</v>
      </c>
      <c r="P22" s="147" t="s">
        <v>42</v>
      </c>
      <c r="Q22" s="280">
        <v>45464</v>
      </c>
      <c r="R22" s="143">
        <f ca="1">REFUELLERS[[#This Row],[PROXIMO CAMBIO]]-$D$1</f>
        <v>-553</v>
      </c>
      <c r="S22" s="143" t="str">
        <f ca="1">IF($D$1&lt;=REFUELLERS[[#This Row],[PROXIMO CAMBIO]],"VIGENTE","VENCIDO")</f>
        <v>VENCIDO</v>
      </c>
      <c r="T22" s="150" t="s">
        <v>438</v>
      </c>
      <c r="U22" s="150">
        <f>IFERROR(LOOKUP("SATURADOS",REFUELLERS[[#This Row],[CONDICION]],REFUELLERS[[#This Row],[CANT]]),0)</f>
        <v>3</v>
      </c>
      <c r="V22" s="150">
        <f>IFERROR(LOOKUP("SATURADOS",REFUELLERS[[#This Row],[CONDICION]],REFUELLERS[[#This Row],[CANT ]]),0)</f>
        <v>1</v>
      </c>
    </row>
    <row r="23" spans="1:22" ht="21" customHeight="1" x14ac:dyDescent="0.25">
      <c r="A23" s="303">
        <f t="shared" si="0"/>
        <v>18</v>
      </c>
      <c r="B23" s="143" t="s">
        <v>443</v>
      </c>
      <c r="C23" s="143" t="s">
        <v>250</v>
      </c>
      <c r="D23" s="278" t="s">
        <v>19</v>
      </c>
      <c r="E23" s="278" t="s">
        <v>44</v>
      </c>
      <c r="F23" s="278" t="s">
        <v>100</v>
      </c>
      <c r="G23" s="377" t="s">
        <v>101</v>
      </c>
      <c r="H23" s="144">
        <v>2010</v>
      </c>
      <c r="I23" s="145">
        <v>2500</v>
      </c>
      <c r="J23" s="143" t="s">
        <v>23</v>
      </c>
      <c r="K23" s="281" t="s">
        <v>33</v>
      </c>
      <c r="L23" s="281" t="s">
        <v>25</v>
      </c>
      <c r="M23" s="281">
        <v>2</v>
      </c>
      <c r="N23" s="292" t="s">
        <v>46</v>
      </c>
      <c r="O23" s="281">
        <v>1</v>
      </c>
      <c r="P23" s="293" t="s">
        <v>66</v>
      </c>
      <c r="Q23" s="280">
        <v>44368</v>
      </c>
      <c r="R23" s="143">
        <f ca="1">REFUELLERS[[#This Row],[PROXIMO CAMBIO]]-$D$1</f>
        <v>-1649</v>
      </c>
      <c r="S23" s="143" t="str">
        <f ca="1">IF($D$1&lt;=REFUELLERS[[#This Row],[PROXIMO CAMBIO]],"VIGENTE","VENCIDO")</f>
        <v>VENCIDO</v>
      </c>
      <c r="T23" s="150" t="s">
        <v>438</v>
      </c>
      <c r="U23" s="150">
        <f>IFERROR(LOOKUP("SATURADOS",REFUELLERS[[#This Row],[CONDICION]],REFUELLERS[[#This Row],[CANT]]),0)</f>
        <v>2</v>
      </c>
      <c r="V23" s="150">
        <f>IFERROR(LOOKUP("SATURADOS",REFUELLERS[[#This Row],[CONDICION]],REFUELLERS[[#This Row],[CANT ]]),0)</f>
        <v>1</v>
      </c>
    </row>
    <row r="24" spans="1:22" ht="21" customHeight="1" x14ac:dyDescent="0.25">
      <c r="A24" s="303">
        <f t="shared" si="0"/>
        <v>19</v>
      </c>
      <c r="B24" s="143" t="s">
        <v>442</v>
      </c>
      <c r="C24" s="143" t="s">
        <v>274</v>
      </c>
      <c r="D24" s="278" t="s">
        <v>19</v>
      </c>
      <c r="E24" s="278" t="s">
        <v>44</v>
      </c>
      <c r="F24" s="278" t="s">
        <v>102</v>
      </c>
      <c r="G24" s="377" t="s">
        <v>103</v>
      </c>
      <c r="H24" s="144">
        <v>2011</v>
      </c>
      <c r="I24" s="145">
        <v>2250</v>
      </c>
      <c r="J24" s="147" t="s">
        <v>23</v>
      </c>
      <c r="K24" s="143" t="s">
        <v>33</v>
      </c>
      <c r="L24" s="143" t="s">
        <v>40</v>
      </c>
      <c r="M24" s="143">
        <v>2</v>
      </c>
      <c r="N24" s="289" t="s">
        <v>78</v>
      </c>
      <c r="O24" s="143">
        <v>1</v>
      </c>
      <c r="P24" s="290" t="s">
        <v>48</v>
      </c>
      <c r="Q24" s="280">
        <v>46925</v>
      </c>
      <c r="R24" s="143">
        <f ca="1">REFUELLERS[[#This Row],[PROXIMO CAMBIO]]-$D$1</f>
        <v>908</v>
      </c>
      <c r="S24" s="143" t="str">
        <f ca="1">IF($D$1&lt;=REFUELLERS[[#This Row],[PROXIMO CAMBIO]],"VIGENTE","VENCIDO")</f>
        <v>VIGENTE</v>
      </c>
      <c r="T24" s="150"/>
      <c r="U24" s="150">
        <f>IFERROR(LOOKUP("SATURADOS",REFUELLERS[[#This Row],[CONDICION]],REFUELLERS[[#This Row],[CANT]]),0)</f>
        <v>0</v>
      </c>
      <c r="V24" s="150">
        <f>IFERROR(LOOKUP("SATURADOS",REFUELLERS[[#This Row],[CONDICION]],REFUELLERS[[#This Row],[CANT ]]),0)</f>
        <v>0</v>
      </c>
    </row>
    <row r="25" spans="1:22" ht="21" customHeight="1" x14ac:dyDescent="0.25">
      <c r="A25" s="303">
        <f t="shared" si="0"/>
        <v>20</v>
      </c>
      <c r="B25" s="143" t="s">
        <v>444</v>
      </c>
      <c r="C25" s="143" t="s">
        <v>276</v>
      </c>
      <c r="D25" s="278" t="s">
        <v>19</v>
      </c>
      <c r="E25" s="278" t="s">
        <v>20</v>
      </c>
      <c r="F25" s="278" t="s">
        <v>104</v>
      </c>
      <c r="G25" s="377" t="s">
        <v>105</v>
      </c>
      <c r="H25" s="144">
        <v>2011</v>
      </c>
      <c r="I25" s="145">
        <v>1615</v>
      </c>
      <c r="J25" s="143" t="s">
        <v>23</v>
      </c>
      <c r="K25" s="283" t="s">
        <v>95</v>
      </c>
      <c r="L25" s="283" t="s">
        <v>40</v>
      </c>
      <c r="M25" s="283">
        <v>2</v>
      </c>
      <c r="N25" s="283" t="s">
        <v>458</v>
      </c>
      <c r="O25" s="283">
        <v>0</v>
      </c>
      <c r="P25" s="284" t="s">
        <v>27</v>
      </c>
      <c r="Q25" s="280">
        <v>46341</v>
      </c>
      <c r="R25" s="143">
        <f ca="1">REFUELLERS[[#This Row],[PROXIMO CAMBIO]]-$D$1</f>
        <v>324</v>
      </c>
      <c r="S25" s="143" t="str">
        <f ca="1">IF($D$1&lt;=REFUELLERS[[#This Row],[PROXIMO CAMBIO]],"VIGENTE","VENCIDO")</f>
        <v>VIGENTE</v>
      </c>
      <c r="T25" s="150"/>
      <c r="U25" s="150">
        <f>IFERROR(LOOKUP("SATURADOS",REFUELLERS[[#This Row],[CONDICION]],REFUELLERS[[#This Row],[CANT]]),0)</f>
        <v>0</v>
      </c>
      <c r="V25" s="150">
        <f>IFERROR(LOOKUP("SATURADOS",REFUELLERS[[#This Row],[CONDICION]],REFUELLERS[[#This Row],[CANT ]]),0)</f>
        <v>0</v>
      </c>
    </row>
    <row r="26" spans="1:22" ht="21" customHeight="1" x14ac:dyDescent="0.25">
      <c r="A26" s="303">
        <f t="shared" si="0"/>
        <v>21</v>
      </c>
      <c r="B26" s="143" t="s">
        <v>443</v>
      </c>
      <c r="C26" s="143" t="s">
        <v>269</v>
      </c>
      <c r="D26" s="278" t="s">
        <v>19</v>
      </c>
      <c r="E26" s="278" t="s">
        <v>20</v>
      </c>
      <c r="F26" s="278" t="s">
        <v>106</v>
      </c>
      <c r="G26" s="377" t="s">
        <v>107</v>
      </c>
      <c r="H26" s="144">
        <v>2011</v>
      </c>
      <c r="I26" s="145">
        <v>1600</v>
      </c>
      <c r="J26" s="143" t="s">
        <v>23</v>
      </c>
      <c r="K26" s="143" t="s">
        <v>95</v>
      </c>
      <c r="L26" s="143" t="s">
        <v>40</v>
      </c>
      <c r="M26" s="143">
        <v>2</v>
      </c>
      <c r="N26" s="143" t="s">
        <v>433</v>
      </c>
      <c r="O26" s="143">
        <v>0</v>
      </c>
      <c r="P26" s="147" t="s">
        <v>27</v>
      </c>
      <c r="Q26" s="280">
        <v>44368</v>
      </c>
      <c r="R26" s="143">
        <f ca="1">REFUELLERS[[#This Row],[PROXIMO CAMBIO]]-$D$1</f>
        <v>-1649</v>
      </c>
      <c r="S26" s="143" t="str">
        <f ca="1">IF($D$1&lt;=REFUELLERS[[#This Row],[PROXIMO CAMBIO]],"VIGENTE","VENCIDO")</f>
        <v>VENCIDO</v>
      </c>
      <c r="T26" s="150" t="s">
        <v>438</v>
      </c>
      <c r="U26" s="150">
        <f>IFERROR(LOOKUP("SATURADOS",REFUELLERS[[#This Row],[CONDICION]],REFUELLERS[[#This Row],[CANT]]),0)</f>
        <v>2</v>
      </c>
      <c r="V26" s="150">
        <f>IFERROR(LOOKUP("SATURADOS",REFUELLERS[[#This Row],[CONDICION]],REFUELLERS[[#This Row],[CANT ]]),0)</f>
        <v>0</v>
      </c>
    </row>
    <row r="27" spans="1:22" ht="21" customHeight="1" x14ac:dyDescent="0.25">
      <c r="A27" s="143">
        <f t="shared" si="0"/>
        <v>22</v>
      </c>
      <c r="B27" s="143" t="s">
        <v>447</v>
      </c>
      <c r="C27" s="143" t="s">
        <v>284</v>
      </c>
      <c r="D27" s="278" t="s">
        <v>96</v>
      </c>
      <c r="E27" s="278" t="s">
        <v>108</v>
      </c>
      <c r="F27" s="278" t="s">
        <v>109</v>
      </c>
      <c r="G27" s="377" t="s">
        <v>110</v>
      </c>
      <c r="H27" s="144">
        <v>1991</v>
      </c>
      <c r="I27" s="145">
        <v>1250</v>
      </c>
      <c r="J27" s="143" t="s">
        <v>89</v>
      </c>
      <c r="K27" s="143" t="s">
        <v>95</v>
      </c>
      <c r="L27" s="143" t="s">
        <v>40</v>
      </c>
      <c r="M27" s="143">
        <v>1</v>
      </c>
      <c r="N27" s="143" t="s">
        <v>457</v>
      </c>
      <c r="O27" s="143">
        <v>0</v>
      </c>
      <c r="P27" s="147" t="s">
        <v>27</v>
      </c>
      <c r="Q27" s="280">
        <v>44368</v>
      </c>
      <c r="R27" s="143">
        <f ca="1">REFUELLERS[[#This Row],[PROXIMO CAMBIO]]-$D$1</f>
        <v>-1649</v>
      </c>
      <c r="S27" s="143" t="str">
        <f ca="1">IF($D$1&lt;=REFUELLERS[[#This Row],[PROXIMO CAMBIO]],"VIGENTE","VENCIDO")</f>
        <v>VENCIDO</v>
      </c>
      <c r="T27" s="150" t="s">
        <v>438</v>
      </c>
      <c r="U27" s="150">
        <f>IFERROR(LOOKUP("SATURADOS",REFUELLERS[[#This Row],[CONDICION]],REFUELLERS[[#This Row],[CANT]]),0)</f>
        <v>1</v>
      </c>
      <c r="V27" s="150">
        <f>IFERROR(LOOKUP("SATURADOS",REFUELLERS[[#This Row],[CONDICION]],REFUELLERS[[#This Row],[CANT ]]),0)</f>
        <v>0</v>
      </c>
    </row>
    <row r="28" spans="1:22" ht="21" customHeight="1" x14ac:dyDescent="0.25">
      <c r="A28" s="303">
        <f t="shared" si="0"/>
        <v>23</v>
      </c>
      <c r="B28" s="143" t="s">
        <v>444</v>
      </c>
      <c r="C28" s="143" t="s">
        <v>276</v>
      </c>
      <c r="D28" s="278" t="s">
        <v>96</v>
      </c>
      <c r="E28" s="278" t="s">
        <v>108</v>
      </c>
      <c r="F28" s="278" t="s">
        <v>111</v>
      </c>
      <c r="G28" s="377" t="s">
        <v>112</v>
      </c>
      <c r="H28" s="144">
        <v>1991</v>
      </c>
      <c r="I28" s="145">
        <v>1200</v>
      </c>
      <c r="J28" s="143" t="s">
        <v>89</v>
      </c>
      <c r="K28" s="143" t="s">
        <v>24</v>
      </c>
      <c r="L28" s="143" t="s">
        <v>25</v>
      </c>
      <c r="M28" s="143">
        <v>1</v>
      </c>
      <c r="N28" s="143" t="s">
        <v>297</v>
      </c>
      <c r="O28" s="143">
        <v>0</v>
      </c>
      <c r="P28" s="147" t="s">
        <v>27</v>
      </c>
      <c r="Q28" s="280">
        <v>46194</v>
      </c>
      <c r="R28" s="143">
        <f ca="1">REFUELLERS[[#This Row],[PROXIMO CAMBIO]]-$D$1</f>
        <v>177</v>
      </c>
      <c r="S28" s="143" t="str">
        <f ca="1">IF($D$1&lt;=REFUELLERS[[#This Row],[PROXIMO CAMBIO]],"VIGENTE","VENCIDO")</f>
        <v>VIGENTE</v>
      </c>
      <c r="T28" s="150"/>
      <c r="U28" s="150">
        <f>IFERROR(LOOKUP("SATURADOS",REFUELLERS[[#This Row],[CONDICION]],REFUELLERS[[#This Row],[CANT]]),0)</f>
        <v>0</v>
      </c>
      <c r="V28" s="150">
        <f>IFERROR(LOOKUP("SATURADOS",REFUELLERS[[#This Row],[CONDICION]],REFUELLERS[[#This Row],[CANT ]]),0)</f>
        <v>0</v>
      </c>
    </row>
    <row r="29" spans="1:22" ht="21" customHeight="1" x14ac:dyDescent="0.25">
      <c r="A29" s="303">
        <f t="shared" si="0"/>
        <v>24</v>
      </c>
      <c r="B29" s="143" t="s">
        <v>447</v>
      </c>
      <c r="C29" s="143" t="s">
        <v>284</v>
      </c>
      <c r="D29" s="278" t="s">
        <v>19</v>
      </c>
      <c r="E29" s="278" t="s">
        <v>113</v>
      </c>
      <c r="F29" s="278" t="s">
        <v>114</v>
      </c>
      <c r="G29" s="377" t="s">
        <v>115</v>
      </c>
      <c r="H29" s="144">
        <v>2012</v>
      </c>
      <c r="I29" s="145">
        <v>2500</v>
      </c>
      <c r="J29" s="143" t="s">
        <v>23</v>
      </c>
      <c r="K29" s="143" t="s">
        <v>33</v>
      </c>
      <c r="L29" s="143" t="s">
        <v>25</v>
      </c>
      <c r="M29" s="143">
        <v>2</v>
      </c>
      <c r="N29" s="289" t="s">
        <v>46</v>
      </c>
      <c r="O29" s="143">
        <v>1</v>
      </c>
      <c r="P29" s="290" t="s">
        <v>35</v>
      </c>
      <c r="Q29" s="280">
        <v>44368</v>
      </c>
      <c r="R29" s="143">
        <f ca="1">REFUELLERS[[#This Row],[PROXIMO CAMBIO]]-$D$1</f>
        <v>-1649</v>
      </c>
      <c r="S29" s="143" t="str">
        <f ca="1">IF($D$1&lt;=REFUELLERS[[#This Row],[PROXIMO CAMBIO]],"VIGENTE","VENCIDO")</f>
        <v>VENCIDO</v>
      </c>
      <c r="T29" s="150" t="s">
        <v>438</v>
      </c>
      <c r="U29" s="150">
        <f>IFERROR(LOOKUP("SATURADOS",REFUELLERS[[#This Row],[CONDICION]],REFUELLERS[[#This Row],[CANT]]),0)</f>
        <v>2</v>
      </c>
      <c r="V29" s="150">
        <f>IFERROR(LOOKUP("SATURADOS",REFUELLERS[[#This Row],[CONDICION]],REFUELLERS[[#This Row],[CANT ]]),0)</f>
        <v>1</v>
      </c>
    </row>
    <row r="30" spans="1:22" ht="21" customHeight="1" x14ac:dyDescent="0.25">
      <c r="A30" s="303">
        <f t="shared" si="0"/>
        <v>25</v>
      </c>
      <c r="B30" s="143" t="s">
        <v>445</v>
      </c>
      <c r="C30" s="143" t="s">
        <v>418</v>
      </c>
      <c r="D30" s="278" t="s">
        <v>19</v>
      </c>
      <c r="E30" s="278" t="s">
        <v>20</v>
      </c>
      <c r="F30" s="278" t="s">
        <v>116</v>
      </c>
      <c r="G30" s="377" t="s">
        <v>117</v>
      </c>
      <c r="H30" s="144">
        <v>2012</v>
      </c>
      <c r="I30" s="145">
        <v>2000</v>
      </c>
      <c r="J30" s="143" t="s">
        <v>23</v>
      </c>
      <c r="K30" s="143" t="s">
        <v>24</v>
      </c>
      <c r="L30" s="143" t="s">
        <v>40</v>
      </c>
      <c r="M30" s="143">
        <v>10</v>
      </c>
      <c r="N30" s="143" t="s">
        <v>60</v>
      </c>
      <c r="O30" s="143">
        <v>0</v>
      </c>
      <c r="P30" s="147" t="s">
        <v>27</v>
      </c>
      <c r="Q30" s="280">
        <v>46194</v>
      </c>
      <c r="R30" s="143">
        <f ca="1">REFUELLERS[[#This Row],[PROXIMO CAMBIO]]-$D$1</f>
        <v>177</v>
      </c>
      <c r="S30" s="143" t="str">
        <f ca="1">IF($D$1&lt;=REFUELLERS[[#This Row],[PROXIMO CAMBIO]],"VIGENTE","VENCIDO")</f>
        <v>VIGENTE</v>
      </c>
      <c r="T30" s="150"/>
      <c r="U30" s="150">
        <f>IFERROR(LOOKUP("SATURADOS",REFUELLERS[[#This Row],[CONDICION]],REFUELLERS[[#This Row],[CANT]]),0)</f>
        <v>0</v>
      </c>
      <c r="V30" s="150">
        <f>IFERROR(LOOKUP("SATURADOS",REFUELLERS[[#This Row],[CONDICION]],REFUELLERS[[#This Row],[CANT ]]),0)</f>
        <v>0</v>
      </c>
    </row>
    <row r="31" spans="1:22" ht="21" customHeight="1" x14ac:dyDescent="0.25">
      <c r="A31" s="303">
        <f t="shared" si="0"/>
        <v>26</v>
      </c>
      <c r="B31" s="143" t="s">
        <v>453</v>
      </c>
      <c r="C31" s="143" t="s">
        <v>288</v>
      </c>
      <c r="D31" s="278" t="s">
        <v>61</v>
      </c>
      <c r="E31" s="278" t="s">
        <v>118</v>
      </c>
      <c r="F31" s="278" t="s">
        <v>119</v>
      </c>
      <c r="G31" s="377" t="s">
        <v>120</v>
      </c>
      <c r="H31" s="144">
        <v>2012</v>
      </c>
      <c r="I31" s="145">
        <v>3000</v>
      </c>
      <c r="J31" s="143" t="s">
        <v>23</v>
      </c>
      <c r="K31" s="143" t="s">
        <v>33</v>
      </c>
      <c r="L31" s="143" t="s">
        <v>25</v>
      </c>
      <c r="M31" s="143">
        <v>3</v>
      </c>
      <c r="N31" s="143" t="s">
        <v>34</v>
      </c>
      <c r="O31" s="143">
        <v>1</v>
      </c>
      <c r="P31" s="279" t="s">
        <v>35</v>
      </c>
      <c r="Q31" s="280">
        <v>46194</v>
      </c>
      <c r="R31" s="143">
        <f ca="1">REFUELLERS[[#This Row],[PROXIMO CAMBIO]]-$D$1</f>
        <v>177</v>
      </c>
      <c r="S31" s="143" t="str">
        <f ca="1">IF($D$1&lt;=REFUELLERS[[#This Row],[PROXIMO CAMBIO]],"VIGENTE","VENCIDO")</f>
        <v>VIGENTE</v>
      </c>
      <c r="T31" s="150"/>
      <c r="U31" s="150">
        <f>IFERROR(LOOKUP("SATURADOS",REFUELLERS[[#This Row],[CONDICION]],REFUELLERS[[#This Row],[CANT]]),0)</f>
        <v>0</v>
      </c>
      <c r="V31" s="150">
        <f>IFERROR(LOOKUP("SATURADOS",REFUELLERS[[#This Row],[CONDICION]],REFUELLERS[[#This Row],[CANT ]]),0)</f>
        <v>0</v>
      </c>
    </row>
    <row r="32" spans="1:22" ht="21" customHeight="1" x14ac:dyDescent="0.25">
      <c r="A32" s="303">
        <f t="shared" si="0"/>
        <v>27</v>
      </c>
      <c r="B32" s="143" t="s">
        <v>447</v>
      </c>
      <c r="C32" s="143" t="s">
        <v>266</v>
      </c>
      <c r="D32" s="278" t="s">
        <v>61</v>
      </c>
      <c r="E32" s="278">
        <v>4300</v>
      </c>
      <c r="F32" s="278" t="s">
        <v>121</v>
      </c>
      <c r="G32" s="377" t="s">
        <v>122</v>
      </c>
      <c r="H32" s="144">
        <v>2013</v>
      </c>
      <c r="I32" s="145">
        <v>3150</v>
      </c>
      <c r="J32" s="143" t="s">
        <v>23</v>
      </c>
      <c r="K32" s="143" t="s">
        <v>33</v>
      </c>
      <c r="L32" s="143" t="s">
        <v>25</v>
      </c>
      <c r="M32" s="143">
        <v>3</v>
      </c>
      <c r="N32" s="143" t="s">
        <v>34</v>
      </c>
      <c r="O32" s="143">
        <v>1</v>
      </c>
      <c r="P32" s="147" t="s">
        <v>426</v>
      </c>
      <c r="Q32" s="280">
        <v>44368</v>
      </c>
      <c r="R32" s="143">
        <f ca="1">REFUELLERS[[#This Row],[PROXIMO CAMBIO]]-$D$1</f>
        <v>-1649</v>
      </c>
      <c r="S32" s="143" t="str">
        <f ca="1">IF($D$1&lt;=REFUELLERS[[#This Row],[PROXIMO CAMBIO]],"VIGENTE","VENCIDO")</f>
        <v>VENCIDO</v>
      </c>
      <c r="T32" s="150" t="s">
        <v>438</v>
      </c>
      <c r="U32" s="150">
        <f>IFERROR(LOOKUP("SATURADOS",REFUELLERS[[#This Row],[CONDICION]],REFUELLERS[[#This Row],[CANT]]),0)</f>
        <v>3</v>
      </c>
      <c r="V32" s="150">
        <f>IFERROR(LOOKUP("SATURADOS",REFUELLERS[[#This Row],[CONDICION]],REFUELLERS[[#This Row],[CANT ]]),0)</f>
        <v>1</v>
      </c>
    </row>
    <row r="33" spans="1:22" ht="21" customHeight="1" x14ac:dyDescent="0.25">
      <c r="A33" s="303">
        <f t="shared" si="0"/>
        <v>28</v>
      </c>
      <c r="B33" s="143" t="s">
        <v>447</v>
      </c>
      <c r="C33" s="143" t="s">
        <v>266</v>
      </c>
      <c r="D33" s="278" t="s">
        <v>61</v>
      </c>
      <c r="E33" s="278">
        <v>4300</v>
      </c>
      <c r="F33" s="278" t="s">
        <v>123</v>
      </c>
      <c r="G33" s="377" t="s">
        <v>124</v>
      </c>
      <c r="H33" s="144">
        <v>2007</v>
      </c>
      <c r="I33" s="145">
        <v>3000</v>
      </c>
      <c r="J33" s="143" t="s">
        <v>23</v>
      </c>
      <c r="K33" s="285" t="s">
        <v>33</v>
      </c>
      <c r="L33" s="285" t="s">
        <v>40</v>
      </c>
      <c r="M33" s="285">
        <v>3</v>
      </c>
      <c r="N33" s="285" t="s">
        <v>41</v>
      </c>
      <c r="O33" s="285">
        <v>1</v>
      </c>
      <c r="P33" s="287" t="s">
        <v>42</v>
      </c>
      <c r="Q33" s="280">
        <v>46827</v>
      </c>
      <c r="R33" s="143">
        <f ca="1">REFUELLERS[[#This Row],[PROXIMO CAMBIO]]-$D$1</f>
        <v>810</v>
      </c>
      <c r="S33" s="143" t="str">
        <f ca="1">IF($D$1&lt;=REFUELLERS[[#This Row],[PROXIMO CAMBIO]],"VIGENTE","VENCIDO")</f>
        <v>VIGENTE</v>
      </c>
      <c r="T33" s="150"/>
      <c r="U33" s="150">
        <f>IFERROR(LOOKUP("SATURADOS",REFUELLERS[[#This Row],[CONDICION]],REFUELLERS[[#This Row],[CANT]]),0)</f>
        <v>0</v>
      </c>
      <c r="V33" s="150">
        <f>IFERROR(LOOKUP("SATURADOS",REFUELLERS[[#This Row],[CONDICION]],REFUELLERS[[#This Row],[CANT ]]),0)</f>
        <v>0</v>
      </c>
    </row>
    <row r="34" spans="1:22" ht="21" customHeight="1" x14ac:dyDescent="0.25">
      <c r="A34" s="303">
        <f t="shared" si="0"/>
        <v>29</v>
      </c>
      <c r="B34" s="143" t="s">
        <v>442</v>
      </c>
      <c r="C34" s="143" t="s">
        <v>243</v>
      </c>
      <c r="D34" s="278" t="s">
        <v>19</v>
      </c>
      <c r="E34" s="278" t="s">
        <v>30</v>
      </c>
      <c r="F34" s="278" t="s">
        <v>125</v>
      </c>
      <c r="G34" s="377" t="s">
        <v>126</v>
      </c>
      <c r="H34" s="144">
        <v>1995</v>
      </c>
      <c r="I34" s="145">
        <v>2650</v>
      </c>
      <c r="J34" s="147" t="s">
        <v>23</v>
      </c>
      <c r="K34" s="143" t="s">
        <v>33</v>
      </c>
      <c r="L34" s="143" t="s">
        <v>25</v>
      </c>
      <c r="M34" s="143">
        <v>3</v>
      </c>
      <c r="N34" s="143" t="s">
        <v>46</v>
      </c>
      <c r="O34" s="285">
        <v>1</v>
      </c>
      <c r="P34" s="147" t="s">
        <v>52</v>
      </c>
      <c r="Q34" s="280">
        <v>46825</v>
      </c>
      <c r="R34" s="143">
        <f ca="1">REFUELLERS[[#This Row],[PROXIMO CAMBIO]]-$D$1</f>
        <v>808</v>
      </c>
      <c r="S34" s="143" t="str">
        <f ca="1">IF($D$1&lt;=REFUELLERS[[#This Row],[PROXIMO CAMBIO]],"VIGENTE","VENCIDO")</f>
        <v>VIGENTE</v>
      </c>
      <c r="T34" s="150"/>
      <c r="U34" s="150">
        <f>IFERROR(LOOKUP("SATURADOS",REFUELLERS[[#This Row],[CONDICION]],REFUELLERS[[#This Row],[CANT]]),0)</f>
        <v>0</v>
      </c>
      <c r="V34" s="150">
        <f>IFERROR(LOOKUP("SATURADOS",REFUELLERS[[#This Row],[CONDICION]],REFUELLERS[[#This Row],[CANT ]]),0)</f>
        <v>0</v>
      </c>
    </row>
    <row r="35" spans="1:22" ht="21" customHeight="1" x14ac:dyDescent="0.25">
      <c r="A35" s="303">
        <f t="shared" si="0"/>
        <v>30</v>
      </c>
      <c r="B35" s="285" t="s">
        <v>442</v>
      </c>
      <c r="C35" s="285" t="s">
        <v>282</v>
      </c>
      <c r="D35" s="294" t="s">
        <v>96</v>
      </c>
      <c r="E35" s="294">
        <v>700</v>
      </c>
      <c r="F35" s="278" t="s">
        <v>127</v>
      </c>
      <c r="G35" s="378" t="s">
        <v>128</v>
      </c>
      <c r="H35" s="326">
        <v>1991</v>
      </c>
      <c r="I35" s="275">
        <v>2650</v>
      </c>
      <c r="J35" s="285" t="s">
        <v>23</v>
      </c>
      <c r="K35" s="281" t="s">
        <v>33</v>
      </c>
      <c r="L35" s="281" t="s">
        <v>40</v>
      </c>
      <c r="M35" s="281">
        <v>3</v>
      </c>
      <c r="N35" s="281" t="s">
        <v>246</v>
      </c>
      <c r="O35" s="281">
        <v>1</v>
      </c>
      <c r="P35" s="295" t="s">
        <v>440</v>
      </c>
      <c r="Q35" s="320">
        <v>46620</v>
      </c>
      <c r="R35" s="285">
        <f ca="1">REFUELLERS[[#This Row],[PROXIMO CAMBIO]]-$D$1</f>
        <v>603</v>
      </c>
      <c r="S35" s="285" t="str">
        <f ca="1">IF($D$1&lt;=REFUELLERS[[#This Row],[PROXIMO CAMBIO]],"VIGENTE","VENCIDO")</f>
        <v>VIGENTE</v>
      </c>
      <c r="T35" s="321"/>
      <c r="U35" s="321">
        <f>IFERROR(LOOKUP("SATURADOS",REFUELLERS[[#This Row],[CONDICION]],REFUELLERS[[#This Row],[CANT]]),0)</f>
        <v>0</v>
      </c>
      <c r="V35" s="321">
        <f>IFERROR(LOOKUP("SATURADOS",REFUELLERS[[#This Row],[CONDICION]],REFUELLERS[[#This Row],[CANT ]]),0)</f>
        <v>0</v>
      </c>
    </row>
    <row r="36" spans="1:22" ht="21" customHeight="1" x14ac:dyDescent="0.25">
      <c r="A36" s="303">
        <f t="shared" si="0"/>
        <v>31</v>
      </c>
      <c r="B36" s="285" t="s">
        <v>453</v>
      </c>
      <c r="C36" s="285" t="s">
        <v>288</v>
      </c>
      <c r="D36" s="294" t="s">
        <v>450</v>
      </c>
      <c r="E36" s="294" t="s">
        <v>448</v>
      </c>
      <c r="F36" s="278" t="s">
        <v>451</v>
      </c>
      <c r="G36" s="299" t="s">
        <v>449</v>
      </c>
      <c r="H36" s="144">
        <v>2011</v>
      </c>
      <c r="I36" s="144">
        <v>6000</v>
      </c>
      <c r="J36" s="143" t="s">
        <v>23</v>
      </c>
      <c r="K36" s="143" t="s">
        <v>33</v>
      </c>
      <c r="L36" s="143" t="s">
        <v>40</v>
      </c>
      <c r="M36" s="143">
        <v>3</v>
      </c>
      <c r="N36" s="143" t="s">
        <v>34</v>
      </c>
      <c r="O36" s="143">
        <v>1</v>
      </c>
      <c r="P36" s="301" t="s">
        <v>35</v>
      </c>
      <c r="Q36" s="280"/>
      <c r="R36" s="143">
        <f ca="1">REFUELLERS[[#This Row],[PROXIMO CAMBIO]]-$D$1</f>
        <v>-46017</v>
      </c>
      <c r="S36" s="143" t="str">
        <f ca="1">IF($D$1&lt;=REFUELLERS[[#This Row],[PROXIMO CAMBIO]],"VIGENTE","VENCIDO")</f>
        <v>VENCIDO</v>
      </c>
      <c r="T36" s="150" t="s">
        <v>438</v>
      </c>
      <c r="U36" s="150">
        <f>IFERROR(LOOKUP("SATURADOS",REFUELLERS[[#This Row],[CONDICION]],REFUELLERS[[#This Row],[CANT]]),0)</f>
        <v>3</v>
      </c>
      <c r="V36" s="150">
        <f>IFERROR(LOOKUP("SATURADOS",REFUELLERS[[#This Row],[CONDICION]],REFUELLERS[[#This Row],[CANT ]]),0)</f>
        <v>1</v>
      </c>
    </row>
    <row r="37" spans="1:22" ht="21" customHeight="1" x14ac:dyDescent="0.25">
      <c r="M37" s="148">
        <f>SUBTOTAL(109,REFUELLERS[CANT])</f>
        <v>106</v>
      </c>
      <c r="O37" s="148">
        <f>SUBTOTAL(109,REFUELLERS[[CANT ]])</f>
        <v>22</v>
      </c>
      <c r="Q37" s="322"/>
      <c r="R37" s="323"/>
      <c r="S37" s="311"/>
      <c r="T37" s="311"/>
      <c r="U37" s="311"/>
    </row>
    <row r="38" spans="1:22" ht="21" customHeight="1" x14ac:dyDescent="0.25">
      <c r="Q38" s="324"/>
      <c r="R38" s="325"/>
    </row>
    <row r="39" spans="1:22" ht="21" customHeight="1" x14ac:dyDescent="0.25">
      <c r="Q39" s="151"/>
    </row>
    <row r="40" spans="1:22" ht="21" customHeight="1" x14ac:dyDescent="0.25">
      <c r="Q40" s="151"/>
    </row>
    <row r="41" spans="1:22" ht="21" customHeight="1" x14ac:dyDescent="0.25">
      <c r="Q41" s="151"/>
    </row>
    <row r="42" spans="1:22" ht="21" customHeight="1" x14ac:dyDescent="0.25">
      <c r="Q42" s="151"/>
    </row>
    <row r="43" spans="1:22" ht="21" customHeight="1" x14ac:dyDescent="0.25">
      <c r="Q43" s="151"/>
    </row>
    <row r="44" spans="1:22" ht="21" customHeight="1" x14ac:dyDescent="0.25">
      <c r="Q44" s="151"/>
    </row>
    <row r="45" spans="1:22" ht="21" customHeight="1" x14ac:dyDescent="0.25">
      <c r="Q45" s="151"/>
    </row>
    <row r="46" spans="1:22" ht="21" customHeight="1" x14ac:dyDescent="0.25">
      <c r="Q46" s="151"/>
    </row>
    <row r="47" spans="1:22" ht="21" customHeight="1" x14ac:dyDescent="0.25">
      <c r="Q47" s="151"/>
    </row>
    <row r="48" spans="1:22" ht="21" customHeight="1" x14ac:dyDescent="0.25">
      <c r="Q48" s="151"/>
    </row>
    <row r="49" spans="12:18" ht="21" customHeight="1" x14ac:dyDescent="0.25">
      <c r="Q49" s="151"/>
    </row>
    <row r="50" spans="12:18" ht="21" customHeight="1" x14ac:dyDescent="0.25">
      <c r="Q50" s="151"/>
    </row>
    <row r="51" spans="12:18" ht="21" customHeight="1" x14ac:dyDescent="0.25">
      <c r="Q51" s="151"/>
    </row>
    <row r="52" spans="12:18" ht="21" customHeight="1" x14ac:dyDescent="0.25">
      <c r="Q52" s="151"/>
    </row>
    <row r="53" spans="12:18" ht="21" customHeight="1" x14ac:dyDescent="0.25">
      <c r="L53" s="133"/>
      <c r="M53" s="133"/>
      <c r="R53" s="132"/>
    </row>
    <row r="54" spans="12:18" ht="21" customHeight="1" x14ac:dyDescent="0.25">
      <c r="R54" s="132"/>
    </row>
    <row r="55" spans="12:18" ht="21" customHeight="1" x14ac:dyDescent="0.25">
      <c r="Q55" s="151"/>
    </row>
    <row r="56" spans="12:18" ht="21" customHeight="1" x14ac:dyDescent="0.25">
      <c r="Q56" s="151"/>
    </row>
    <row r="57" spans="12:18" ht="21" customHeight="1" x14ac:dyDescent="0.25">
      <c r="Q57" s="151"/>
    </row>
    <row r="58" spans="12:18" ht="21" customHeight="1" x14ac:dyDescent="0.25">
      <c r="Q58" s="151"/>
    </row>
    <row r="59" spans="12:18" ht="21" customHeight="1" x14ac:dyDescent="0.25">
      <c r="M59" s="274"/>
      <c r="Q59" s="151"/>
    </row>
    <row r="60" spans="12:18" ht="21" customHeight="1" x14ac:dyDescent="0.25">
      <c r="M60" s="274"/>
      <c r="Q60" s="151"/>
    </row>
    <row r="61" spans="12:18" ht="21" customHeight="1" x14ac:dyDescent="0.25">
      <c r="M61" s="274"/>
      <c r="Q61" s="151"/>
    </row>
    <row r="62" spans="12:18" ht="21" customHeight="1" x14ac:dyDescent="0.25">
      <c r="Q62" s="151"/>
    </row>
    <row r="63" spans="12:18" ht="21" customHeight="1" x14ac:dyDescent="0.25">
      <c r="M63" s="274"/>
      <c r="Q63" s="151"/>
    </row>
    <row r="64" spans="12:18" ht="21" customHeight="1" x14ac:dyDescent="0.25">
      <c r="M64" s="274"/>
      <c r="Q64" s="151"/>
    </row>
    <row r="65" spans="17:17" ht="21" customHeight="1" x14ac:dyDescent="0.25">
      <c r="Q65" s="151"/>
    </row>
    <row r="66" spans="17:17" ht="21" customHeight="1" x14ac:dyDescent="0.25">
      <c r="Q66" s="151"/>
    </row>
    <row r="67" spans="17:17" ht="21" customHeight="1" x14ac:dyDescent="0.25">
      <c r="Q67" s="151"/>
    </row>
    <row r="68" spans="17:17" ht="21" customHeight="1" x14ac:dyDescent="0.25">
      <c r="Q68" s="151"/>
    </row>
    <row r="69" spans="17:17" ht="21" customHeight="1" x14ac:dyDescent="0.25">
      <c r="Q69" s="151"/>
    </row>
    <row r="70" spans="17:17" ht="21" customHeight="1" x14ac:dyDescent="0.25">
      <c r="Q70" s="151"/>
    </row>
    <row r="71" spans="17:17" ht="21" customHeight="1" x14ac:dyDescent="0.25">
      <c r="Q71" s="151"/>
    </row>
    <row r="72" spans="17:17" ht="21" customHeight="1" x14ac:dyDescent="0.25">
      <c r="Q72" s="151"/>
    </row>
    <row r="73" spans="17:17" ht="21" customHeight="1" x14ac:dyDescent="0.25">
      <c r="Q73" s="151"/>
    </row>
    <row r="74" spans="17:17" ht="21" customHeight="1" x14ac:dyDescent="0.25">
      <c r="Q74" s="151"/>
    </row>
    <row r="75" spans="17:17" ht="21" customHeight="1" x14ac:dyDescent="0.25">
      <c r="Q75" s="151"/>
    </row>
    <row r="76" spans="17:17" ht="21" customHeight="1" x14ac:dyDescent="0.25">
      <c r="Q76" s="151"/>
    </row>
    <row r="77" spans="17:17" ht="21" customHeight="1" x14ac:dyDescent="0.25">
      <c r="Q77" s="151"/>
    </row>
    <row r="78" spans="17:17" ht="21" customHeight="1" x14ac:dyDescent="0.25">
      <c r="Q78" s="151"/>
    </row>
    <row r="79" spans="17:17" ht="21" customHeight="1" x14ac:dyDescent="0.25">
      <c r="Q79" s="151"/>
    </row>
    <row r="80" spans="17:17" ht="21" customHeight="1" x14ac:dyDescent="0.25">
      <c r="Q80" s="151"/>
    </row>
    <row r="81" spans="17:17" ht="21" customHeight="1" x14ac:dyDescent="0.25">
      <c r="Q81" s="151"/>
    </row>
    <row r="82" spans="17:17" ht="21" customHeight="1" x14ac:dyDescent="0.25">
      <c r="Q82" s="151"/>
    </row>
    <row r="83" spans="17:17" ht="21" customHeight="1" x14ac:dyDescent="0.25">
      <c r="Q83" s="151"/>
    </row>
    <row r="84" spans="17:17" ht="21" customHeight="1" x14ac:dyDescent="0.25">
      <c r="Q84" s="151"/>
    </row>
    <row r="85" spans="17:17" ht="21" customHeight="1" x14ac:dyDescent="0.25">
      <c r="Q85" s="151"/>
    </row>
    <row r="86" spans="17:17" ht="21" customHeight="1" x14ac:dyDescent="0.25">
      <c r="Q86" s="151"/>
    </row>
    <row r="87" spans="17:17" ht="21" customHeight="1" x14ac:dyDescent="0.25">
      <c r="Q87" s="151"/>
    </row>
    <row r="88" spans="17:17" ht="21" customHeight="1" x14ac:dyDescent="0.25">
      <c r="Q88" s="151"/>
    </row>
    <row r="89" spans="17:17" ht="21" customHeight="1" x14ac:dyDescent="0.25">
      <c r="Q89" s="151"/>
    </row>
    <row r="90" spans="17:17" ht="21" customHeight="1" x14ac:dyDescent="0.25">
      <c r="Q90" s="151"/>
    </row>
    <row r="91" spans="17:17" ht="21" customHeight="1" x14ac:dyDescent="0.25">
      <c r="Q91" s="151"/>
    </row>
    <row r="92" spans="17:17" ht="21" customHeight="1" x14ac:dyDescent="0.25">
      <c r="Q92" s="151"/>
    </row>
  </sheetData>
  <sortState xmlns:xlrd2="http://schemas.microsoft.com/office/spreadsheetml/2017/richdata2" ref="P39:P69">
    <sortCondition ref="P39:P69"/>
  </sortState>
  <mergeCells count="6">
    <mergeCell ref="A4:J4"/>
    <mergeCell ref="K4:P4"/>
    <mergeCell ref="A3:V3"/>
    <mergeCell ref="Q4:V4"/>
    <mergeCell ref="A1:C1"/>
    <mergeCell ref="E1:I1"/>
  </mergeCells>
  <phoneticPr fontId="3" type="noConversion"/>
  <conditionalFormatting sqref="R6:R36">
    <cfRule type="cellIs" dxfId="82" priority="2" operator="lessThan">
      <formula>121</formula>
    </cfRule>
  </conditionalFormatting>
  <conditionalFormatting sqref="S6:U36">
    <cfRule type="containsText" dxfId="81" priority="1" operator="containsText" text="SATURADOS">
      <formula>NOT(ISERROR(SEARCH("SATURADOS",S6)))</formula>
    </cfRule>
    <cfRule type="containsText" dxfId="80" priority="57" operator="containsText" text="VENCIDO">
      <formula>NOT(ISERROR(SEARCH("VENCIDO",S6)))</formula>
    </cfRule>
    <cfRule type="containsText" dxfId="79" priority="58" operator="containsText" text="PROX A VENCER">
      <formula>NOT(ISERROR(SEARCH("PROX A VENCER",S6)))</formula>
    </cfRule>
    <cfRule type="containsText" dxfId="78" priority="59" operator="containsText" text="PROX A VENCER">
      <formula>NOT(ISERROR(SEARCH("PROX A VENCER",S6)))</formula>
    </cfRule>
    <cfRule type="containsText" dxfId="77" priority="60" operator="containsText" text="PROX A VENCER">
      <formula>NOT(ISERROR(SEARCH("PROX A VENCER",S6)))</formula>
    </cfRule>
    <cfRule type="containsText" dxfId="76" priority="61" operator="containsText" text="PROX A VENCER">
      <formula>NOT(ISERROR(SEARCH("PROX A VENCER",S6)))</formula>
    </cfRule>
    <cfRule type="containsText" dxfId="75" priority="62" operator="containsText" text="PROXIMO">
      <formula>NOT(ISERROR(SEARCH("PROXIMO",S6)))</formula>
    </cfRule>
  </conditionalFormatting>
  <pageMargins left="0.25" right="0.25" top="0.75" bottom="0.75" header="0.3" footer="0.3"/>
  <pageSetup scale="66" orientation="landscape" r:id="rId1"/>
  <colBreaks count="1" manualBreakCount="1">
    <brk id="20" max="3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837F-F48F-4575-9E19-A5C489F07D84}">
  <sheetPr codeName="Hoja3"/>
  <dimension ref="A1:R47"/>
  <sheetViews>
    <sheetView view="pageBreakPreview" zoomScaleNormal="85" zoomScaleSheetLayoutView="100" workbookViewId="0">
      <selection activeCell="D1" sqref="D1"/>
    </sheetView>
  </sheetViews>
  <sheetFormatPr baseColWidth="10" defaultColWidth="11.42578125" defaultRowHeight="21" customHeight="1" x14ac:dyDescent="0.25"/>
  <cols>
    <col min="1" max="1" width="4.7109375" style="132" customWidth="1"/>
    <col min="2" max="3" width="6.7109375" style="149" customWidth="1"/>
    <col min="4" max="4" width="16.7109375" style="132" customWidth="1"/>
    <col min="5" max="5" width="14.85546875" style="132" customWidth="1"/>
    <col min="6" max="6" width="11.7109375" style="132" customWidth="1"/>
    <col min="7" max="7" width="12.7109375" style="132" customWidth="1"/>
    <col min="8" max="8" width="8.7109375" style="132" customWidth="1"/>
    <col min="9" max="9" width="7.7109375" style="132" customWidth="1"/>
    <col min="10" max="10" width="12.7109375" style="132" customWidth="1"/>
    <col min="11" max="11" width="7.7109375" style="132" customWidth="1"/>
    <col min="12" max="12" width="12.7109375" style="132" customWidth="1"/>
    <col min="13" max="14" width="11.7109375" style="134" customWidth="1"/>
    <col min="15" max="15" width="10.7109375" style="132" customWidth="1"/>
    <col min="16" max="16" width="12.7109375" style="132" customWidth="1"/>
    <col min="17" max="18" width="6.7109375" style="132" hidden="1" customWidth="1"/>
    <col min="19" max="22" width="11.42578125" style="132"/>
    <col min="23" max="28" width="12.28515625" style="132" customWidth="1"/>
    <col min="29" max="256" width="11.42578125" style="132"/>
    <col min="257" max="257" width="28.140625" style="132" customWidth="1"/>
    <col min="258" max="258" width="19.7109375" style="132" customWidth="1"/>
    <col min="259" max="512" width="11.42578125" style="132"/>
    <col min="513" max="513" width="28.140625" style="132" customWidth="1"/>
    <col min="514" max="514" width="19.7109375" style="132" customWidth="1"/>
    <col min="515" max="768" width="11.42578125" style="132"/>
    <col min="769" max="769" width="28.140625" style="132" customWidth="1"/>
    <col min="770" max="770" width="19.7109375" style="132" customWidth="1"/>
    <col min="771" max="1024" width="11.42578125" style="132"/>
    <col min="1025" max="1025" width="28.140625" style="132" customWidth="1"/>
    <col min="1026" max="1026" width="19.7109375" style="132" customWidth="1"/>
    <col min="1027" max="1280" width="11.42578125" style="132"/>
    <col min="1281" max="1281" width="28.140625" style="132" customWidth="1"/>
    <col min="1282" max="1282" width="19.7109375" style="132" customWidth="1"/>
    <col min="1283" max="1536" width="11.42578125" style="132"/>
    <col min="1537" max="1537" width="28.140625" style="132" customWidth="1"/>
    <col min="1538" max="1538" width="19.7109375" style="132" customWidth="1"/>
    <col min="1539" max="1792" width="11.42578125" style="132"/>
    <col min="1793" max="1793" width="28.140625" style="132" customWidth="1"/>
    <col min="1794" max="1794" width="19.7109375" style="132" customWidth="1"/>
    <col min="1795" max="2048" width="11.42578125" style="132"/>
    <col min="2049" max="2049" width="28.140625" style="132" customWidth="1"/>
    <col min="2050" max="2050" width="19.7109375" style="132" customWidth="1"/>
    <col min="2051" max="2304" width="11.42578125" style="132"/>
    <col min="2305" max="2305" width="28.140625" style="132" customWidth="1"/>
    <col min="2306" max="2306" width="19.7109375" style="132" customWidth="1"/>
    <col min="2307" max="2560" width="11.42578125" style="132"/>
    <col min="2561" max="2561" width="28.140625" style="132" customWidth="1"/>
    <col min="2562" max="2562" width="19.7109375" style="132" customWidth="1"/>
    <col min="2563" max="2816" width="11.42578125" style="132"/>
    <col min="2817" max="2817" width="28.140625" style="132" customWidth="1"/>
    <col min="2818" max="2818" width="19.7109375" style="132" customWidth="1"/>
    <col min="2819" max="3072" width="11.42578125" style="132"/>
    <col min="3073" max="3073" width="28.140625" style="132" customWidth="1"/>
    <col min="3074" max="3074" width="19.7109375" style="132" customWidth="1"/>
    <col min="3075" max="3328" width="11.42578125" style="132"/>
    <col min="3329" max="3329" width="28.140625" style="132" customWidth="1"/>
    <col min="3330" max="3330" width="19.7109375" style="132" customWidth="1"/>
    <col min="3331" max="3584" width="11.42578125" style="132"/>
    <col min="3585" max="3585" width="28.140625" style="132" customWidth="1"/>
    <col min="3586" max="3586" width="19.7109375" style="132" customWidth="1"/>
    <col min="3587" max="3840" width="11.42578125" style="132"/>
    <col min="3841" max="3841" width="28.140625" style="132" customWidth="1"/>
    <col min="3842" max="3842" width="19.7109375" style="132" customWidth="1"/>
    <col min="3843" max="4096" width="11.42578125" style="132"/>
    <col min="4097" max="4097" width="28.140625" style="132" customWidth="1"/>
    <col min="4098" max="4098" width="19.7109375" style="132" customWidth="1"/>
    <col min="4099" max="4352" width="11.42578125" style="132"/>
    <col min="4353" max="4353" width="28.140625" style="132" customWidth="1"/>
    <col min="4354" max="4354" width="19.7109375" style="132" customWidth="1"/>
    <col min="4355" max="4608" width="11.42578125" style="132"/>
    <col min="4609" max="4609" width="28.140625" style="132" customWidth="1"/>
    <col min="4610" max="4610" width="19.7109375" style="132" customWidth="1"/>
    <col min="4611" max="4864" width="11.42578125" style="132"/>
    <col min="4865" max="4865" width="28.140625" style="132" customWidth="1"/>
    <col min="4866" max="4866" width="19.7109375" style="132" customWidth="1"/>
    <col min="4867" max="5120" width="11.42578125" style="132"/>
    <col min="5121" max="5121" width="28.140625" style="132" customWidth="1"/>
    <col min="5122" max="5122" width="19.7109375" style="132" customWidth="1"/>
    <col min="5123" max="5376" width="11.42578125" style="132"/>
    <col min="5377" max="5377" width="28.140625" style="132" customWidth="1"/>
    <col min="5378" max="5378" width="19.7109375" style="132" customWidth="1"/>
    <col min="5379" max="5632" width="11.42578125" style="132"/>
    <col min="5633" max="5633" width="28.140625" style="132" customWidth="1"/>
    <col min="5634" max="5634" width="19.7109375" style="132" customWidth="1"/>
    <col min="5635" max="5888" width="11.42578125" style="132"/>
    <col min="5889" max="5889" width="28.140625" style="132" customWidth="1"/>
    <col min="5890" max="5890" width="19.7109375" style="132" customWidth="1"/>
    <col min="5891" max="6144" width="11.42578125" style="132"/>
    <col min="6145" max="6145" width="28.140625" style="132" customWidth="1"/>
    <col min="6146" max="6146" width="19.7109375" style="132" customWidth="1"/>
    <col min="6147" max="6400" width="11.42578125" style="132"/>
    <col min="6401" max="6401" width="28.140625" style="132" customWidth="1"/>
    <col min="6402" max="6402" width="19.7109375" style="132" customWidth="1"/>
    <col min="6403" max="6656" width="11.42578125" style="132"/>
    <col min="6657" max="6657" width="28.140625" style="132" customWidth="1"/>
    <col min="6658" max="6658" width="19.7109375" style="132" customWidth="1"/>
    <col min="6659" max="6912" width="11.42578125" style="132"/>
    <col min="6913" max="6913" width="28.140625" style="132" customWidth="1"/>
    <col min="6914" max="6914" width="19.7109375" style="132" customWidth="1"/>
    <col min="6915" max="7168" width="11.42578125" style="132"/>
    <col min="7169" max="7169" width="28.140625" style="132" customWidth="1"/>
    <col min="7170" max="7170" width="19.7109375" style="132" customWidth="1"/>
    <col min="7171" max="7424" width="11.42578125" style="132"/>
    <col min="7425" max="7425" width="28.140625" style="132" customWidth="1"/>
    <col min="7426" max="7426" width="19.7109375" style="132" customWidth="1"/>
    <col min="7427" max="7680" width="11.42578125" style="132"/>
    <col min="7681" max="7681" width="28.140625" style="132" customWidth="1"/>
    <col min="7682" max="7682" width="19.7109375" style="132" customWidth="1"/>
    <col min="7683" max="7936" width="11.42578125" style="132"/>
    <col min="7937" max="7937" width="28.140625" style="132" customWidth="1"/>
    <col min="7938" max="7938" width="19.7109375" style="132" customWidth="1"/>
    <col min="7939" max="8192" width="11.42578125" style="132"/>
    <col min="8193" max="8193" width="28.140625" style="132" customWidth="1"/>
    <col min="8194" max="8194" width="19.7109375" style="132" customWidth="1"/>
    <col min="8195" max="8448" width="11.42578125" style="132"/>
    <col min="8449" max="8449" width="28.140625" style="132" customWidth="1"/>
    <col min="8450" max="8450" width="19.7109375" style="132" customWidth="1"/>
    <col min="8451" max="8704" width="11.42578125" style="132"/>
    <col min="8705" max="8705" width="28.140625" style="132" customWidth="1"/>
    <col min="8706" max="8706" width="19.7109375" style="132" customWidth="1"/>
    <col min="8707" max="8960" width="11.42578125" style="132"/>
    <col min="8961" max="8961" width="28.140625" style="132" customWidth="1"/>
    <col min="8962" max="8962" width="19.7109375" style="132" customWidth="1"/>
    <col min="8963" max="9216" width="11.42578125" style="132"/>
    <col min="9217" max="9217" width="28.140625" style="132" customWidth="1"/>
    <col min="9218" max="9218" width="19.7109375" style="132" customWidth="1"/>
    <col min="9219" max="9472" width="11.42578125" style="132"/>
    <col min="9473" max="9473" width="28.140625" style="132" customWidth="1"/>
    <col min="9474" max="9474" width="19.7109375" style="132" customWidth="1"/>
    <col min="9475" max="9728" width="11.42578125" style="132"/>
    <col min="9729" max="9729" width="28.140625" style="132" customWidth="1"/>
    <col min="9730" max="9730" width="19.7109375" style="132" customWidth="1"/>
    <col min="9731" max="9984" width="11.42578125" style="132"/>
    <col min="9985" max="9985" width="28.140625" style="132" customWidth="1"/>
    <col min="9986" max="9986" width="19.7109375" style="132" customWidth="1"/>
    <col min="9987" max="10240" width="11.42578125" style="132"/>
    <col min="10241" max="10241" width="28.140625" style="132" customWidth="1"/>
    <col min="10242" max="10242" width="19.7109375" style="132" customWidth="1"/>
    <col min="10243" max="10496" width="11.42578125" style="132"/>
    <col min="10497" max="10497" width="28.140625" style="132" customWidth="1"/>
    <col min="10498" max="10498" width="19.7109375" style="132" customWidth="1"/>
    <col min="10499" max="10752" width="11.42578125" style="132"/>
    <col min="10753" max="10753" width="28.140625" style="132" customWidth="1"/>
    <col min="10754" max="10754" width="19.7109375" style="132" customWidth="1"/>
    <col min="10755" max="11008" width="11.42578125" style="132"/>
    <col min="11009" max="11009" width="28.140625" style="132" customWidth="1"/>
    <col min="11010" max="11010" width="19.7109375" style="132" customWidth="1"/>
    <col min="11011" max="11264" width="11.42578125" style="132"/>
    <col min="11265" max="11265" width="28.140625" style="132" customWidth="1"/>
    <col min="11266" max="11266" width="19.7109375" style="132" customWidth="1"/>
    <col min="11267" max="11520" width="11.42578125" style="132"/>
    <col min="11521" max="11521" width="28.140625" style="132" customWidth="1"/>
    <col min="11522" max="11522" width="19.7109375" style="132" customWidth="1"/>
    <col min="11523" max="11776" width="11.42578125" style="132"/>
    <col min="11777" max="11777" width="28.140625" style="132" customWidth="1"/>
    <col min="11778" max="11778" width="19.7109375" style="132" customWidth="1"/>
    <col min="11779" max="12032" width="11.42578125" style="132"/>
    <col min="12033" max="12033" width="28.140625" style="132" customWidth="1"/>
    <col min="12034" max="12034" width="19.7109375" style="132" customWidth="1"/>
    <col min="12035" max="12288" width="11.42578125" style="132"/>
    <col min="12289" max="12289" width="28.140625" style="132" customWidth="1"/>
    <col min="12290" max="12290" width="19.7109375" style="132" customWidth="1"/>
    <col min="12291" max="12544" width="11.42578125" style="132"/>
    <col min="12545" max="12545" width="28.140625" style="132" customWidth="1"/>
    <col min="12546" max="12546" width="19.7109375" style="132" customWidth="1"/>
    <col min="12547" max="12800" width="11.42578125" style="132"/>
    <col min="12801" max="12801" width="28.140625" style="132" customWidth="1"/>
    <col min="12802" max="12802" width="19.7109375" style="132" customWidth="1"/>
    <col min="12803" max="13056" width="11.42578125" style="132"/>
    <col min="13057" max="13057" width="28.140625" style="132" customWidth="1"/>
    <col min="13058" max="13058" width="19.7109375" style="132" customWidth="1"/>
    <col min="13059" max="13312" width="11.42578125" style="132"/>
    <col min="13313" max="13313" width="28.140625" style="132" customWidth="1"/>
    <col min="13314" max="13314" width="19.7109375" style="132" customWidth="1"/>
    <col min="13315" max="13568" width="11.42578125" style="132"/>
    <col min="13569" max="13569" width="28.140625" style="132" customWidth="1"/>
    <col min="13570" max="13570" width="19.7109375" style="132" customWidth="1"/>
    <col min="13571" max="13824" width="11.42578125" style="132"/>
    <col min="13825" max="13825" width="28.140625" style="132" customWidth="1"/>
    <col min="13826" max="13826" width="19.7109375" style="132" customWidth="1"/>
    <col min="13827" max="14080" width="11.42578125" style="132"/>
    <col min="14081" max="14081" width="28.140625" style="132" customWidth="1"/>
    <col min="14082" max="14082" width="19.7109375" style="132" customWidth="1"/>
    <col min="14083" max="14336" width="11.42578125" style="132"/>
    <col min="14337" max="14337" width="28.140625" style="132" customWidth="1"/>
    <col min="14338" max="14338" width="19.7109375" style="132" customWidth="1"/>
    <col min="14339" max="14592" width="11.42578125" style="132"/>
    <col min="14593" max="14593" width="28.140625" style="132" customWidth="1"/>
    <col min="14594" max="14594" width="19.7109375" style="132" customWidth="1"/>
    <col min="14595" max="14848" width="11.42578125" style="132"/>
    <col min="14849" max="14849" width="28.140625" style="132" customWidth="1"/>
    <col min="14850" max="14850" width="19.7109375" style="132" customWidth="1"/>
    <col min="14851" max="15104" width="11.42578125" style="132"/>
    <col min="15105" max="15105" width="28.140625" style="132" customWidth="1"/>
    <col min="15106" max="15106" width="19.7109375" style="132" customWidth="1"/>
    <col min="15107" max="15360" width="11.42578125" style="132"/>
    <col min="15361" max="15361" width="28.140625" style="132" customWidth="1"/>
    <col min="15362" max="15362" width="19.7109375" style="132" customWidth="1"/>
    <col min="15363" max="15616" width="11.42578125" style="132"/>
    <col min="15617" max="15617" width="28.140625" style="132" customWidth="1"/>
    <col min="15618" max="15618" width="19.7109375" style="132" customWidth="1"/>
    <col min="15619" max="15872" width="11.42578125" style="132"/>
    <col min="15873" max="15873" width="28.140625" style="132" customWidth="1"/>
    <col min="15874" max="15874" width="19.7109375" style="132" customWidth="1"/>
    <col min="15875" max="16128" width="11.42578125" style="132"/>
    <col min="16129" max="16129" width="28.140625" style="132" customWidth="1"/>
    <col min="16130" max="16130" width="19.7109375" style="132" customWidth="1"/>
    <col min="16131" max="16367" width="11.42578125" style="132"/>
    <col min="16368" max="16384" width="10.85546875" style="132" customWidth="1"/>
  </cols>
  <sheetData>
    <row r="1" spans="1:18" ht="21" customHeight="1" x14ac:dyDescent="0.25">
      <c r="A1" s="387" t="s">
        <v>132</v>
      </c>
      <c r="B1" s="387"/>
      <c r="C1" s="387"/>
      <c r="D1" s="131">
        <f ca="1">TODAY()</f>
        <v>46017</v>
      </c>
      <c r="E1" s="389" t="s">
        <v>0</v>
      </c>
      <c r="F1" s="390"/>
      <c r="G1" s="390"/>
      <c r="H1" s="391"/>
      <c r="N1" s="132"/>
      <c r="P1" s="305"/>
      <c r="Q1" s="305"/>
      <c r="R1" s="305"/>
    </row>
    <row r="2" spans="1:18" ht="9.9499999999999993" customHeight="1" x14ac:dyDescent="0.25">
      <c r="B2" s="135"/>
      <c r="C2" s="135"/>
      <c r="D2" s="135"/>
      <c r="E2" s="135"/>
      <c r="I2" s="135"/>
      <c r="J2" s="135"/>
      <c r="K2" s="135"/>
      <c r="L2" s="135"/>
      <c r="M2" s="136"/>
      <c r="N2" s="132"/>
    </row>
    <row r="3" spans="1:18" ht="30" customHeight="1" x14ac:dyDescent="0.25">
      <c r="A3" s="392" t="s">
        <v>416</v>
      </c>
      <c r="B3" s="393"/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</row>
    <row r="4" spans="1:18" ht="21" customHeight="1" x14ac:dyDescent="0.25">
      <c r="A4" s="379" t="s">
        <v>415</v>
      </c>
      <c r="B4" s="380"/>
      <c r="C4" s="380"/>
      <c r="D4" s="380"/>
      <c r="E4" s="380"/>
      <c r="F4" s="381"/>
      <c r="G4" s="379" t="s">
        <v>10</v>
      </c>
      <c r="H4" s="380"/>
      <c r="I4" s="380"/>
      <c r="J4" s="380"/>
      <c r="K4" s="380"/>
      <c r="L4" s="380"/>
      <c r="M4" s="384" t="s">
        <v>18</v>
      </c>
      <c r="N4" s="385"/>
      <c r="O4" s="385"/>
      <c r="P4" s="385"/>
      <c r="Q4" s="385"/>
      <c r="R4" s="386"/>
    </row>
    <row r="5" spans="1:18" s="142" customFormat="1" ht="29.25" customHeight="1" x14ac:dyDescent="0.25">
      <c r="A5" s="137" t="s">
        <v>3</v>
      </c>
      <c r="B5" s="152" t="s">
        <v>441</v>
      </c>
      <c r="C5" s="152" t="s">
        <v>240</v>
      </c>
      <c r="D5" s="152" t="s">
        <v>239</v>
      </c>
      <c r="E5" s="139" t="s">
        <v>241</v>
      </c>
      <c r="F5" s="139" t="s">
        <v>9</v>
      </c>
      <c r="G5" s="138" t="s">
        <v>242</v>
      </c>
      <c r="H5" s="139" t="s">
        <v>11</v>
      </c>
      <c r="I5" s="139" t="s">
        <v>12</v>
      </c>
      <c r="J5" s="139" t="s">
        <v>13</v>
      </c>
      <c r="K5" s="139" t="s">
        <v>14</v>
      </c>
      <c r="L5" s="140" t="s">
        <v>15</v>
      </c>
      <c r="M5" s="138" t="s">
        <v>16</v>
      </c>
      <c r="N5" s="138" t="s">
        <v>17</v>
      </c>
      <c r="O5" s="141" t="s">
        <v>18</v>
      </c>
      <c r="P5" s="329" t="s">
        <v>468</v>
      </c>
      <c r="Q5" s="329" t="s">
        <v>463</v>
      </c>
      <c r="R5" s="329" t="s">
        <v>464</v>
      </c>
    </row>
    <row r="6" spans="1:18" s="272" customFormat="1" ht="21" customHeight="1" x14ac:dyDescent="0.25">
      <c r="A6" s="303">
        <v>1</v>
      </c>
      <c r="B6" s="143" t="s">
        <v>442</v>
      </c>
      <c r="C6" s="143" t="s">
        <v>243</v>
      </c>
      <c r="D6" s="278" t="s">
        <v>244</v>
      </c>
      <c r="E6" s="296" t="s">
        <v>245</v>
      </c>
      <c r="F6" s="143" t="s">
        <v>23</v>
      </c>
      <c r="G6" s="143" t="s">
        <v>33</v>
      </c>
      <c r="H6" s="143" t="s">
        <v>25</v>
      </c>
      <c r="I6" s="143">
        <v>4</v>
      </c>
      <c r="J6" s="283" t="s">
        <v>51</v>
      </c>
      <c r="K6" s="143">
        <v>3</v>
      </c>
      <c r="L6" s="147" t="s">
        <v>432</v>
      </c>
      <c r="M6" s="280">
        <v>46528</v>
      </c>
      <c r="N6" s="143">
        <f ca="1">PLANTAS[[#This Row],[PROXIMO CAMBIO]]-$D$1</f>
        <v>511</v>
      </c>
      <c r="O6" s="147" t="str">
        <f ca="1">IF($D$1&lt;=PLANTAS[[#This Row],[PROXIMO CAMBIO]],"VIGENTE","VENCIDO")</f>
        <v>VIGENTE</v>
      </c>
      <c r="P6" s="150"/>
      <c r="Q6" s="150">
        <f>IFERROR(LOOKUP("SATURADOS",PLANTAS[[#This Row],[CONDICION]],PLANTAS[[#This Row],[CANT]]),0)</f>
        <v>0</v>
      </c>
      <c r="R6" s="150">
        <f>IFERROR(LOOKUP("SATURADOS",PLANTAS[[#This Row],[CONDICION]],PLANTAS[[#This Row],[CANT ]]),0)</f>
        <v>0</v>
      </c>
    </row>
    <row r="7" spans="1:18" s="272" customFormat="1" ht="21" hidden="1" customHeight="1" x14ac:dyDescent="0.25">
      <c r="A7" s="303">
        <f>A6+1</f>
        <v>2</v>
      </c>
      <c r="B7" s="143" t="s">
        <v>442</v>
      </c>
      <c r="C7" s="143" t="s">
        <v>258</v>
      </c>
      <c r="D7" s="278" t="s">
        <v>259</v>
      </c>
      <c r="E7" s="296" t="s">
        <v>260</v>
      </c>
      <c r="F7" s="143" t="s">
        <v>23</v>
      </c>
      <c r="G7" s="143" t="s">
        <v>95</v>
      </c>
      <c r="H7" s="143" t="s">
        <v>40</v>
      </c>
      <c r="I7" s="143">
        <v>1</v>
      </c>
      <c r="J7" s="297" t="s">
        <v>458</v>
      </c>
      <c r="K7" s="143"/>
      <c r="L7" s="147" t="s">
        <v>27</v>
      </c>
      <c r="M7" s="280">
        <v>46235</v>
      </c>
      <c r="N7" s="143">
        <f ca="1">PLANTAS[[#This Row],[PROXIMO CAMBIO]]-$D$1</f>
        <v>218</v>
      </c>
      <c r="O7" s="147" t="str">
        <f ca="1">IF($D$1&lt;=PLANTAS[[#This Row],[PROXIMO CAMBIO]],"VIGENTE","VENCIDO")</f>
        <v>VIGENTE</v>
      </c>
      <c r="P7" s="150"/>
      <c r="Q7" s="150">
        <f>IFERROR(LOOKUP("SATURADOS",PLANTAS[[#This Row],[CONDICION]],PLANTAS[[#This Row],[CANT]]),0)</f>
        <v>0</v>
      </c>
      <c r="R7" s="150">
        <f>IFERROR(LOOKUP("SATURADOS",PLANTAS[[#This Row],[CONDICION]],PLANTAS[[#This Row],[CANT ]]),0)</f>
        <v>0</v>
      </c>
    </row>
    <row r="8" spans="1:18" s="272" customFormat="1" ht="21" hidden="1" customHeight="1" x14ac:dyDescent="0.25">
      <c r="A8" s="303">
        <f t="shared" ref="A8:A42" si="0">A7+1</f>
        <v>3</v>
      </c>
      <c r="B8" s="143" t="s">
        <v>443</v>
      </c>
      <c r="C8" s="143" t="s">
        <v>269</v>
      </c>
      <c r="D8" s="278" t="s">
        <v>270</v>
      </c>
      <c r="E8" s="296" t="s">
        <v>260</v>
      </c>
      <c r="F8" s="143" t="s">
        <v>23</v>
      </c>
      <c r="G8" s="143" t="s">
        <v>95</v>
      </c>
      <c r="H8" s="143" t="s">
        <v>40</v>
      </c>
      <c r="I8" s="143">
        <v>1</v>
      </c>
      <c r="J8" s="297" t="s">
        <v>458</v>
      </c>
      <c r="K8" s="281"/>
      <c r="L8" s="285" t="s">
        <v>27</v>
      </c>
      <c r="M8" s="280">
        <v>44368</v>
      </c>
      <c r="N8" s="143">
        <f ca="1">PLANTAS[[#This Row],[PROXIMO CAMBIO]]-$D$1</f>
        <v>-1649</v>
      </c>
      <c r="O8" s="147" t="str">
        <f ca="1">IF($D$1&lt;=PLANTAS[[#This Row],[PROXIMO CAMBIO]],"VIGENTE","VENCIDO")</f>
        <v>VENCIDO</v>
      </c>
      <c r="P8" s="150" t="s">
        <v>438</v>
      </c>
      <c r="Q8" s="150">
        <f>IFERROR(LOOKUP("SATURADOS",PLANTAS[[#This Row],[CONDICION]],PLANTAS[[#This Row],[CANT]]),0)</f>
        <v>1</v>
      </c>
      <c r="R8" s="150">
        <f>IFERROR(LOOKUP("SATURADOS",PLANTAS[[#This Row],[CONDICION]],PLANTAS[[#This Row],[CANT ]]),0)</f>
        <v>0</v>
      </c>
    </row>
    <row r="9" spans="1:18" s="272" customFormat="1" ht="21" hidden="1" customHeight="1" x14ac:dyDescent="0.25">
      <c r="A9" s="303">
        <f t="shared" si="0"/>
        <v>4</v>
      </c>
      <c r="B9" s="143" t="s">
        <v>443</v>
      </c>
      <c r="C9" s="143" t="s">
        <v>269</v>
      </c>
      <c r="D9" s="278" t="s">
        <v>270</v>
      </c>
      <c r="E9" s="296" t="s">
        <v>260</v>
      </c>
      <c r="F9" s="143" t="s">
        <v>23</v>
      </c>
      <c r="G9" s="143" t="s">
        <v>95</v>
      </c>
      <c r="H9" s="143" t="s">
        <v>40</v>
      </c>
      <c r="I9" s="143">
        <v>1</v>
      </c>
      <c r="J9" s="297" t="s">
        <v>458</v>
      </c>
      <c r="K9" s="143"/>
      <c r="L9" s="143" t="s">
        <v>27</v>
      </c>
      <c r="M9" s="280">
        <v>44368</v>
      </c>
      <c r="N9" s="143">
        <f ca="1">PLANTAS[[#This Row],[PROXIMO CAMBIO]]-$D$1</f>
        <v>-1649</v>
      </c>
      <c r="O9" s="147" t="str">
        <f ca="1">IF($D$1&lt;=PLANTAS[[#This Row],[PROXIMO CAMBIO]],"VIGENTE","VENCIDO")</f>
        <v>VENCIDO</v>
      </c>
      <c r="P9" s="150" t="s">
        <v>438</v>
      </c>
      <c r="Q9" s="150">
        <f>IFERROR(LOOKUP("SATURADOS",PLANTAS[[#This Row],[CONDICION]],PLANTAS[[#This Row],[CANT]]),0)</f>
        <v>1</v>
      </c>
      <c r="R9" s="150">
        <f>IFERROR(LOOKUP("SATURADOS",PLANTAS[[#This Row],[CONDICION]],PLANTAS[[#This Row],[CANT ]]),0)</f>
        <v>0</v>
      </c>
    </row>
    <row r="10" spans="1:18" s="272" customFormat="1" ht="21" hidden="1" customHeight="1" x14ac:dyDescent="0.25">
      <c r="A10" s="303">
        <f t="shared" si="0"/>
        <v>5</v>
      </c>
      <c r="B10" s="143" t="s">
        <v>442</v>
      </c>
      <c r="C10" s="143" t="s">
        <v>258</v>
      </c>
      <c r="D10" s="278" t="s">
        <v>259</v>
      </c>
      <c r="E10" s="296" t="s">
        <v>260</v>
      </c>
      <c r="F10" s="143" t="s">
        <v>23</v>
      </c>
      <c r="G10" s="143" t="s">
        <v>95</v>
      </c>
      <c r="H10" s="143" t="s">
        <v>40</v>
      </c>
      <c r="I10" s="285">
        <v>1</v>
      </c>
      <c r="J10" s="297" t="s">
        <v>458</v>
      </c>
      <c r="K10" s="285"/>
      <c r="L10" s="285" t="s">
        <v>27</v>
      </c>
      <c r="M10" s="280">
        <v>46235</v>
      </c>
      <c r="N10" s="143">
        <f ca="1">PLANTAS[[#This Row],[PROXIMO CAMBIO]]-$D$1</f>
        <v>218</v>
      </c>
      <c r="O10" s="147" t="str">
        <f ca="1">IF($D$1&lt;=PLANTAS[[#This Row],[PROXIMO CAMBIO]],"VIGENTE","VENCIDO")</f>
        <v>VIGENTE</v>
      </c>
      <c r="P10" s="150"/>
      <c r="Q10" s="150">
        <f>IFERROR(LOOKUP("SATURADOS",PLANTAS[[#This Row],[CONDICION]],PLANTAS[[#This Row],[CANT]]),0)</f>
        <v>0</v>
      </c>
      <c r="R10" s="150">
        <f>IFERROR(LOOKUP("SATURADOS",PLANTAS[[#This Row],[CONDICION]],PLANTAS[[#This Row],[CANT ]]),0)</f>
        <v>0</v>
      </c>
    </row>
    <row r="11" spans="1:18" s="272" customFormat="1" ht="21" hidden="1" customHeight="1" x14ac:dyDescent="0.25">
      <c r="A11" s="303">
        <f t="shared" si="0"/>
        <v>6</v>
      </c>
      <c r="B11" s="143" t="s">
        <v>442</v>
      </c>
      <c r="C11" s="143" t="s">
        <v>258</v>
      </c>
      <c r="D11" s="278" t="s">
        <v>259</v>
      </c>
      <c r="E11" s="296" t="s">
        <v>245</v>
      </c>
      <c r="F11" s="147" t="s">
        <v>23</v>
      </c>
      <c r="G11" s="143" t="s">
        <v>33</v>
      </c>
      <c r="H11" s="147" t="s">
        <v>40</v>
      </c>
      <c r="I11" s="143">
        <v>2</v>
      </c>
      <c r="J11" s="283" t="s">
        <v>246</v>
      </c>
      <c r="K11" s="143">
        <v>1</v>
      </c>
      <c r="L11" s="143" t="s">
        <v>264</v>
      </c>
      <c r="M11" s="280">
        <v>44368</v>
      </c>
      <c r="N11" s="143">
        <f ca="1">PLANTAS[[#This Row],[PROXIMO CAMBIO]]-$D$1</f>
        <v>-1649</v>
      </c>
      <c r="O11" s="147" t="str">
        <f ca="1">IF($D$1&lt;=PLANTAS[[#This Row],[PROXIMO CAMBIO]],"VIGENTE","VENCIDO")</f>
        <v>VENCIDO</v>
      </c>
      <c r="P11" s="150" t="s">
        <v>438</v>
      </c>
      <c r="Q11" s="150">
        <f>IFERROR(LOOKUP("SATURADOS",PLANTAS[[#This Row],[CONDICION]],PLANTAS[[#This Row],[CANT]]),0)</f>
        <v>2</v>
      </c>
      <c r="R11" s="150">
        <f>IFERROR(LOOKUP("SATURADOS",PLANTAS[[#This Row],[CONDICION]],PLANTAS[[#This Row],[CANT ]]),0)</f>
        <v>1</v>
      </c>
    </row>
    <row r="12" spans="1:18" s="272" customFormat="1" ht="21" hidden="1" customHeight="1" x14ac:dyDescent="0.25">
      <c r="A12" s="303">
        <f t="shared" si="0"/>
        <v>7</v>
      </c>
      <c r="B12" s="143" t="s">
        <v>442</v>
      </c>
      <c r="C12" s="143" t="s">
        <v>274</v>
      </c>
      <c r="D12" s="278" t="s">
        <v>275</v>
      </c>
      <c r="E12" s="296" t="s">
        <v>260</v>
      </c>
      <c r="F12" s="143" t="s">
        <v>23</v>
      </c>
      <c r="G12" s="281" t="s">
        <v>95</v>
      </c>
      <c r="H12" s="295" t="s">
        <v>40</v>
      </c>
      <c r="I12" s="143">
        <v>1</v>
      </c>
      <c r="J12" s="283" t="s">
        <v>469</v>
      </c>
      <c r="K12" s="143"/>
      <c r="L12" s="147" t="s">
        <v>27</v>
      </c>
      <c r="M12" s="280">
        <v>44368</v>
      </c>
      <c r="N12" s="143">
        <f ca="1">PLANTAS[[#This Row],[PROXIMO CAMBIO]]-$D$1</f>
        <v>-1649</v>
      </c>
      <c r="O12" s="147" t="str">
        <f ca="1">IF($D$1&lt;=PLANTAS[[#This Row],[PROXIMO CAMBIO]],"VIGENTE","VENCIDO")</f>
        <v>VENCIDO</v>
      </c>
      <c r="P12" s="150" t="s">
        <v>438</v>
      </c>
      <c r="Q12" s="150">
        <f>IFERROR(LOOKUP("SATURADOS",PLANTAS[[#This Row],[CONDICION]],PLANTAS[[#This Row],[CANT]]),0)</f>
        <v>1</v>
      </c>
      <c r="R12" s="150">
        <f>IFERROR(LOOKUP("SATURADOS",PLANTAS[[#This Row],[CONDICION]],PLANTAS[[#This Row],[CANT ]]),0)</f>
        <v>0</v>
      </c>
    </row>
    <row r="13" spans="1:18" s="272" customFormat="1" ht="21" customHeight="1" x14ac:dyDescent="0.25">
      <c r="A13" s="303">
        <f t="shared" si="0"/>
        <v>8</v>
      </c>
      <c r="B13" s="143" t="s">
        <v>442</v>
      </c>
      <c r="C13" s="143" t="s">
        <v>274</v>
      </c>
      <c r="D13" s="278" t="s">
        <v>275</v>
      </c>
      <c r="E13" s="296" t="s">
        <v>245</v>
      </c>
      <c r="F13" s="143" t="s">
        <v>23</v>
      </c>
      <c r="G13" s="281" t="s">
        <v>33</v>
      </c>
      <c r="H13" s="295" t="s">
        <v>25</v>
      </c>
      <c r="I13" s="143">
        <v>4</v>
      </c>
      <c r="J13" s="283" t="s">
        <v>51</v>
      </c>
      <c r="K13" s="143">
        <v>2</v>
      </c>
      <c r="L13" s="147" t="s">
        <v>308</v>
      </c>
      <c r="M13" s="280">
        <v>44369</v>
      </c>
      <c r="N13" s="143">
        <f ca="1">PLANTAS[[#This Row],[PROXIMO CAMBIO]]-$D$1</f>
        <v>-1648</v>
      </c>
      <c r="O13" s="147" t="str">
        <f ca="1">IF($D$1&lt;=PLANTAS[[#This Row],[PROXIMO CAMBIO]],"VIGENTE","VENCIDO")</f>
        <v>VENCIDO</v>
      </c>
      <c r="P13" s="150" t="s">
        <v>438</v>
      </c>
      <c r="Q13" s="150">
        <f>IFERROR(LOOKUP("SATURADOS",PLANTAS[[#This Row],[CONDICION]],PLANTAS[[#This Row],[CANT]]),0)</f>
        <v>4</v>
      </c>
      <c r="R13" s="150">
        <f>IFERROR(LOOKUP("SATURADOS",PLANTAS[[#This Row],[CONDICION]],PLANTAS[[#This Row],[CANT ]]),0)</f>
        <v>2</v>
      </c>
    </row>
    <row r="14" spans="1:18" s="272" customFormat="1" ht="21" hidden="1" customHeight="1" x14ac:dyDescent="0.25">
      <c r="A14" s="303">
        <f t="shared" si="0"/>
        <v>9</v>
      </c>
      <c r="B14" s="143" t="s">
        <v>442</v>
      </c>
      <c r="C14" s="143" t="s">
        <v>278</v>
      </c>
      <c r="D14" s="278" t="s">
        <v>279</v>
      </c>
      <c r="E14" s="296" t="s">
        <v>245</v>
      </c>
      <c r="F14" s="147" t="s">
        <v>23</v>
      </c>
      <c r="G14" s="143" t="s">
        <v>33</v>
      </c>
      <c r="H14" s="143" t="s">
        <v>25</v>
      </c>
      <c r="I14" s="283">
        <v>3</v>
      </c>
      <c r="J14" s="283" t="s">
        <v>43</v>
      </c>
      <c r="K14" s="283">
        <v>1</v>
      </c>
      <c r="L14" s="283" t="s">
        <v>425</v>
      </c>
      <c r="M14" s="280">
        <v>46966</v>
      </c>
      <c r="N14" s="143">
        <f ca="1">PLANTAS[[#This Row],[PROXIMO CAMBIO]]-$D$1</f>
        <v>949</v>
      </c>
      <c r="O14" s="147" t="str">
        <f ca="1">IF($D$1&lt;=PLANTAS[[#This Row],[PROXIMO CAMBIO]],"VIGENTE","VENCIDO")</f>
        <v>VIGENTE</v>
      </c>
      <c r="P14" s="150"/>
      <c r="Q14" s="150">
        <f>IFERROR(LOOKUP("SATURADOS",PLANTAS[[#This Row],[CONDICION]],PLANTAS[[#This Row],[CANT]]),0)</f>
        <v>0</v>
      </c>
      <c r="R14" s="150">
        <f>IFERROR(LOOKUP("SATURADOS",PLANTAS[[#This Row],[CONDICION]],PLANTAS[[#This Row],[CANT ]]),0)</f>
        <v>0</v>
      </c>
    </row>
    <row r="15" spans="1:18" s="272" customFormat="1" ht="21" customHeight="1" x14ac:dyDescent="0.25">
      <c r="A15" s="303">
        <f t="shared" si="0"/>
        <v>10</v>
      </c>
      <c r="B15" s="143" t="s">
        <v>442</v>
      </c>
      <c r="C15" s="143" t="s">
        <v>278</v>
      </c>
      <c r="D15" s="278" t="s">
        <v>279</v>
      </c>
      <c r="E15" s="296" t="s">
        <v>245</v>
      </c>
      <c r="F15" s="147" t="s">
        <v>89</v>
      </c>
      <c r="G15" s="143" t="s">
        <v>33</v>
      </c>
      <c r="H15" s="143" t="s">
        <v>40</v>
      </c>
      <c r="I15" s="283">
        <v>2</v>
      </c>
      <c r="J15" s="283" t="s">
        <v>51</v>
      </c>
      <c r="K15" s="283">
        <v>1</v>
      </c>
      <c r="L15" s="283" t="s">
        <v>313</v>
      </c>
      <c r="M15" s="280">
        <v>44368</v>
      </c>
      <c r="N15" s="143">
        <f ca="1">PLANTAS[[#This Row],[PROXIMO CAMBIO]]-$D$1</f>
        <v>-1649</v>
      </c>
      <c r="O15" s="147" t="str">
        <f ca="1">IF($D$1&lt;=PLANTAS[[#This Row],[PROXIMO CAMBIO]],"VIGENTE","VENCIDO")</f>
        <v>VENCIDO</v>
      </c>
      <c r="P15" s="150" t="s">
        <v>438</v>
      </c>
      <c r="Q15" s="150">
        <f>IFERROR(LOOKUP("SATURADOS",PLANTAS[[#This Row],[CONDICION]],PLANTAS[[#This Row],[CANT]]),0)</f>
        <v>2</v>
      </c>
      <c r="R15" s="150">
        <f>IFERROR(LOOKUP("SATURADOS",PLANTAS[[#This Row],[CONDICION]],PLANTAS[[#This Row],[CANT ]]),0)</f>
        <v>1</v>
      </c>
    </row>
    <row r="16" spans="1:18" s="272" customFormat="1" ht="21" hidden="1" customHeight="1" x14ac:dyDescent="0.25">
      <c r="A16" s="303">
        <f t="shared" si="0"/>
        <v>11</v>
      </c>
      <c r="B16" s="143" t="s">
        <v>442</v>
      </c>
      <c r="C16" s="143" t="s">
        <v>278</v>
      </c>
      <c r="D16" s="278" t="s">
        <v>279</v>
      </c>
      <c r="E16" s="296" t="s">
        <v>260</v>
      </c>
      <c r="F16" s="143" t="s">
        <v>23</v>
      </c>
      <c r="G16" s="283" t="s">
        <v>95</v>
      </c>
      <c r="H16" s="283" t="s">
        <v>40</v>
      </c>
      <c r="I16" s="281"/>
      <c r="J16" s="285"/>
      <c r="K16" s="281"/>
      <c r="L16" s="285" t="s">
        <v>27</v>
      </c>
      <c r="M16" s="280"/>
      <c r="N16" s="280"/>
      <c r="O16" s="147"/>
      <c r="P16" s="150"/>
      <c r="Q16" s="150">
        <f>IFERROR(LOOKUP("SATURADOS",PLANTAS[[#This Row],[CONDICION]],PLANTAS[[#This Row],[CANT]]),0)</f>
        <v>0</v>
      </c>
      <c r="R16" s="150">
        <f>IFERROR(LOOKUP("SATURADOS",PLANTAS[[#This Row],[CONDICION]],PLANTAS[[#This Row],[CANT ]]),0)</f>
        <v>0</v>
      </c>
    </row>
    <row r="17" spans="1:18" s="272" customFormat="1" ht="21" hidden="1" customHeight="1" x14ac:dyDescent="0.25">
      <c r="A17" s="303">
        <f t="shared" si="0"/>
        <v>12</v>
      </c>
      <c r="B17" s="143" t="s">
        <v>442</v>
      </c>
      <c r="C17" s="143" t="s">
        <v>278</v>
      </c>
      <c r="D17" s="278" t="s">
        <v>279</v>
      </c>
      <c r="E17" s="296" t="s">
        <v>260</v>
      </c>
      <c r="F17" s="143" t="s">
        <v>23</v>
      </c>
      <c r="G17" s="143" t="s">
        <v>95</v>
      </c>
      <c r="H17" s="147" t="s">
        <v>40</v>
      </c>
      <c r="I17" s="143"/>
      <c r="J17" s="143"/>
      <c r="K17" s="143"/>
      <c r="L17" s="143" t="s">
        <v>27</v>
      </c>
      <c r="M17" s="280"/>
      <c r="N17" s="280"/>
      <c r="O17" s="147"/>
      <c r="P17" s="150"/>
      <c r="Q17" s="150">
        <f>IFERROR(LOOKUP("SATURADOS",PLANTAS[[#This Row],[CONDICION]],PLANTAS[[#This Row],[CANT]]),0)</f>
        <v>0</v>
      </c>
      <c r="R17" s="150">
        <f>IFERROR(LOOKUP("SATURADOS",PLANTAS[[#This Row],[CONDICION]],PLANTAS[[#This Row],[CANT ]]),0)</f>
        <v>0</v>
      </c>
    </row>
    <row r="18" spans="1:18" s="272" customFormat="1" ht="21" hidden="1" customHeight="1" x14ac:dyDescent="0.25">
      <c r="A18" s="303">
        <f t="shared" si="0"/>
        <v>13</v>
      </c>
      <c r="B18" s="143" t="s">
        <v>442</v>
      </c>
      <c r="C18" s="143" t="s">
        <v>278</v>
      </c>
      <c r="D18" s="278" t="s">
        <v>279</v>
      </c>
      <c r="E18" s="296" t="s">
        <v>260</v>
      </c>
      <c r="F18" s="147" t="s">
        <v>89</v>
      </c>
      <c r="G18" s="281" t="s">
        <v>95</v>
      </c>
      <c r="H18" s="295" t="s">
        <v>25</v>
      </c>
      <c r="I18" s="285">
        <v>1</v>
      </c>
      <c r="J18" s="299" t="s">
        <v>458</v>
      </c>
      <c r="K18" s="285"/>
      <c r="L18" s="291" t="s">
        <v>27</v>
      </c>
      <c r="M18" s="280">
        <v>46266</v>
      </c>
      <c r="N18" s="143">
        <f ca="1">PLANTAS[[#This Row],[PROXIMO CAMBIO]]-$D$1</f>
        <v>249</v>
      </c>
      <c r="O18" s="147" t="str">
        <f ca="1">IF($D$1&lt;=PLANTAS[[#This Row],[PROXIMO CAMBIO]],"VIGENTE","VENCIDO")</f>
        <v>VIGENTE</v>
      </c>
      <c r="P18" s="150"/>
      <c r="Q18" s="150">
        <f>IFERROR(LOOKUP("SATURADOS",PLANTAS[[#This Row],[CONDICION]],PLANTAS[[#This Row],[CANT]]),0)</f>
        <v>0</v>
      </c>
      <c r="R18" s="150">
        <f>IFERROR(LOOKUP("SATURADOS",PLANTAS[[#This Row],[CONDICION]],PLANTAS[[#This Row],[CANT ]]),0)</f>
        <v>0</v>
      </c>
    </row>
    <row r="19" spans="1:18" s="272" customFormat="1" ht="21" customHeight="1" x14ac:dyDescent="0.25">
      <c r="A19" s="303">
        <f t="shared" si="0"/>
        <v>14</v>
      </c>
      <c r="B19" s="143" t="s">
        <v>453</v>
      </c>
      <c r="C19" s="143" t="s">
        <v>288</v>
      </c>
      <c r="D19" s="278" t="s">
        <v>289</v>
      </c>
      <c r="E19" s="296" t="s">
        <v>422</v>
      </c>
      <c r="F19" s="143" t="s">
        <v>23</v>
      </c>
      <c r="G19" s="283" t="s">
        <v>33</v>
      </c>
      <c r="H19" s="284" t="s">
        <v>25</v>
      </c>
      <c r="I19" s="143">
        <v>5</v>
      </c>
      <c r="J19" s="289" t="s">
        <v>51</v>
      </c>
      <c r="K19" s="143">
        <v>2</v>
      </c>
      <c r="L19" s="143" t="s">
        <v>69</v>
      </c>
      <c r="M19" s="280">
        <v>46864</v>
      </c>
      <c r="N19" s="143">
        <f ca="1">PLANTAS[[#This Row],[PROXIMO CAMBIO]]-$D$1</f>
        <v>847</v>
      </c>
      <c r="O19" s="147" t="str">
        <f ca="1">IF($D$1&lt;=PLANTAS[[#This Row],[PROXIMO CAMBIO]],"VIGENTE","VENCIDO")</f>
        <v>VIGENTE</v>
      </c>
      <c r="P19" s="150"/>
      <c r="Q19" s="150">
        <f>IFERROR(LOOKUP("SATURADOS",PLANTAS[[#This Row],[CONDICION]],PLANTAS[[#This Row],[CANT]]),0)</f>
        <v>0</v>
      </c>
      <c r="R19" s="150">
        <f>IFERROR(LOOKUP("SATURADOS",PLANTAS[[#This Row],[CONDICION]],PLANTAS[[#This Row],[CANT ]]),0)</f>
        <v>0</v>
      </c>
    </row>
    <row r="20" spans="1:18" s="272" customFormat="1" ht="21" customHeight="1" x14ac:dyDescent="0.25">
      <c r="A20" s="303">
        <f t="shared" si="0"/>
        <v>15</v>
      </c>
      <c r="B20" s="143" t="s">
        <v>447</v>
      </c>
      <c r="C20" s="143" t="s">
        <v>266</v>
      </c>
      <c r="D20" s="278" t="s">
        <v>267</v>
      </c>
      <c r="E20" s="296" t="s">
        <v>245</v>
      </c>
      <c r="F20" s="143" t="s">
        <v>23</v>
      </c>
      <c r="G20" s="143" t="s">
        <v>33</v>
      </c>
      <c r="H20" s="147" t="s">
        <v>25</v>
      </c>
      <c r="I20" s="143">
        <v>4</v>
      </c>
      <c r="J20" s="143" t="s">
        <v>51</v>
      </c>
      <c r="K20" s="285">
        <v>3</v>
      </c>
      <c r="L20" s="298" t="s">
        <v>307</v>
      </c>
      <c r="M20" s="280">
        <v>46712</v>
      </c>
      <c r="N20" s="143">
        <f ca="1">PLANTAS[[#This Row],[PROXIMO CAMBIO]]-$D$1</f>
        <v>695</v>
      </c>
      <c r="O20" s="147" t="str">
        <f ca="1">IF($D$1&lt;=PLANTAS[[#This Row],[PROXIMO CAMBIO]],"VIGENTE","VENCIDO")</f>
        <v>VIGENTE</v>
      </c>
      <c r="P20" s="150"/>
      <c r="Q20" s="150">
        <f>IFERROR(LOOKUP("SATURADOS",PLANTAS[[#This Row],[CONDICION]],PLANTAS[[#This Row],[CANT]]),0)</f>
        <v>0</v>
      </c>
      <c r="R20" s="150">
        <f>IFERROR(LOOKUP("SATURADOS",PLANTAS[[#This Row],[CONDICION]],PLANTAS[[#This Row],[CANT ]]),0)</f>
        <v>0</v>
      </c>
    </row>
    <row r="21" spans="1:18" s="272" customFormat="1" ht="21" hidden="1" customHeight="1" x14ac:dyDescent="0.25">
      <c r="A21" s="303">
        <f t="shared" si="0"/>
        <v>16</v>
      </c>
      <c r="B21" s="143" t="s">
        <v>442</v>
      </c>
      <c r="C21" s="143" t="s">
        <v>280</v>
      </c>
      <c r="D21" s="278" t="s">
        <v>281</v>
      </c>
      <c r="E21" s="296" t="s">
        <v>260</v>
      </c>
      <c r="F21" s="143" t="s">
        <v>23</v>
      </c>
      <c r="G21" s="143" t="s">
        <v>95</v>
      </c>
      <c r="H21" s="143" t="s">
        <v>40</v>
      </c>
      <c r="I21" s="143">
        <v>1</v>
      </c>
      <c r="J21" s="299" t="s">
        <v>458</v>
      </c>
      <c r="K21" s="143"/>
      <c r="L21" s="143" t="s">
        <v>27</v>
      </c>
      <c r="M21" s="280">
        <v>44368</v>
      </c>
      <c r="N21" s="143">
        <f ca="1">PLANTAS[[#This Row],[PROXIMO CAMBIO]]-$D$1</f>
        <v>-1649</v>
      </c>
      <c r="O21" s="147" t="str">
        <f ca="1">IF($D$1&lt;=PLANTAS[[#This Row],[PROXIMO CAMBIO]],"VIGENTE","VENCIDO")</f>
        <v>VENCIDO</v>
      </c>
      <c r="P21" s="150" t="s">
        <v>438</v>
      </c>
      <c r="Q21" s="150">
        <f>IFERROR(LOOKUP("SATURADOS",PLANTAS[[#This Row],[CONDICION]],PLANTAS[[#This Row],[CANT]]),0)</f>
        <v>1</v>
      </c>
      <c r="R21" s="150">
        <f>IFERROR(LOOKUP("SATURADOS",PLANTAS[[#This Row],[CONDICION]],PLANTAS[[#This Row],[CANT ]]),0)</f>
        <v>0</v>
      </c>
    </row>
    <row r="22" spans="1:18" s="272" customFormat="1" ht="21" hidden="1" customHeight="1" x14ac:dyDescent="0.25">
      <c r="A22" s="303">
        <f t="shared" si="0"/>
        <v>17</v>
      </c>
      <c r="B22" s="143" t="s">
        <v>442</v>
      </c>
      <c r="C22" s="143" t="s">
        <v>280</v>
      </c>
      <c r="D22" s="278" t="s">
        <v>281</v>
      </c>
      <c r="E22" s="296" t="s">
        <v>260</v>
      </c>
      <c r="F22" s="143" t="s">
        <v>23</v>
      </c>
      <c r="G22" s="143" t="s">
        <v>95</v>
      </c>
      <c r="H22" s="143" t="s">
        <v>40</v>
      </c>
      <c r="I22" s="143">
        <v>1</v>
      </c>
      <c r="J22" s="299" t="s">
        <v>458</v>
      </c>
      <c r="K22" s="285"/>
      <c r="L22" s="291" t="s">
        <v>27</v>
      </c>
      <c r="M22" s="280">
        <v>44368</v>
      </c>
      <c r="N22" s="143">
        <f ca="1">PLANTAS[[#This Row],[PROXIMO CAMBIO]]-$D$1</f>
        <v>-1649</v>
      </c>
      <c r="O22" s="147" t="str">
        <f ca="1">IF($D$1&lt;=PLANTAS[[#This Row],[PROXIMO CAMBIO]],"VIGENTE","VENCIDO")</f>
        <v>VENCIDO</v>
      </c>
      <c r="P22" s="150" t="s">
        <v>438</v>
      </c>
      <c r="Q22" s="150">
        <f>IFERROR(LOOKUP("SATURADOS",PLANTAS[[#This Row],[CONDICION]],PLANTAS[[#This Row],[CANT]]),0)</f>
        <v>1</v>
      </c>
      <c r="R22" s="150">
        <f>IFERROR(LOOKUP("SATURADOS",PLANTAS[[#This Row],[CONDICION]],PLANTAS[[#This Row],[CANT ]]),0)</f>
        <v>0</v>
      </c>
    </row>
    <row r="23" spans="1:18" s="272" customFormat="1" ht="21" hidden="1" customHeight="1" x14ac:dyDescent="0.25">
      <c r="A23" s="303">
        <f t="shared" si="0"/>
        <v>18</v>
      </c>
      <c r="B23" s="143" t="s">
        <v>442</v>
      </c>
      <c r="C23" s="143" t="s">
        <v>280</v>
      </c>
      <c r="D23" s="278" t="s">
        <v>281</v>
      </c>
      <c r="E23" s="296" t="s">
        <v>245</v>
      </c>
      <c r="F23" s="143" t="s">
        <v>23</v>
      </c>
      <c r="G23" s="143" t="s">
        <v>33</v>
      </c>
      <c r="H23" s="143" t="s">
        <v>25</v>
      </c>
      <c r="I23" s="143">
        <v>3</v>
      </c>
      <c r="J23" s="143" t="s">
        <v>43</v>
      </c>
      <c r="K23" s="143">
        <v>1</v>
      </c>
      <c r="L23" s="143" t="s">
        <v>311</v>
      </c>
      <c r="M23" s="280">
        <v>46998</v>
      </c>
      <c r="N23" s="143">
        <f ca="1">PLANTAS[[#This Row],[PROXIMO CAMBIO]]-$D$1</f>
        <v>981</v>
      </c>
      <c r="O23" s="147" t="str">
        <f ca="1">IF($D$1&lt;=PLANTAS[[#This Row],[PROXIMO CAMBIO]],"VIGENTE","VENCIDO")</f>
        <v>VIGENTE</v>
      </c>
      <c r="P23" s="150"/>
      <c r="Q23" s="150">
        <f>IFERROR(LOOKUP("SATURADOS",PLANTAS[[#This Row],[CONDICION]],PLANTAS[[#This Row],[CANT]]),0)</f>
        <v>0</v>
      </c>
      <c r="R23" s="150">
        <f>IFERROR(LOOKUP("SATURADOS",PLANTAS[[#This Row],[CONDICION]],PLANTAS[[#This Row],[CANT ]]),0)</f>
        <v>0</v>
      </c>
    </row>
    <row r="24" spans="1:18" s="272" customFormat="1" ht="21" customHeight="1" x14ac:dyDescent="0.25">
      <c r="A24" s="303">
        <f t="shared" si="0"/>
        <v>19</v>
      </c>
      <c r="B24" s="143" t="s">
        <v>453</v>
      </c>
      <c r="C24" s="143" t="s">
        <v>288</v>
      </c>
      <c r="D24" s="278" t="s">
        <v>289</v>
      </c>
      <c r="E24" s="296" t="s">
        <v>421</v>
      </c>
      <c r="F24" s="143" t="s">
        <v>23</v>
      </c>
      <c r="G24" s="285" t="s">
        <v>33</v>
      </c>
      <c r="H24" s="285" t="s">
        <v>25</v>
      </c>
      <c r="I24" s="285">
        <v>5</v>
      </c>
      <c r="J24" s="291" t="s">
        <v>51</v>
      </c>
      <c r="K24" s="285">
        <v>3</v>
      </c>
      <c r="L24" s="291" t="s">
        <v>310</v>
      </c>
      <c r="M24" s="280">
        <v>46864</v>
      </c>
      <c r="N24" s="143">
        <f ca="1">PLANTAS[[#This Row],[PROXIMO CAMBIO]]-$D$1</f>
        <v>847</v>
      </c>
      <c r="O24" s="147" t="str">
        <f ca="1">IF($D$1&lt;=PLANTAS[[#This Row],[PROXIMO CAMBIO]],"VIGENTE","VENCIDO")</f>
        <v>VIGENTE</v>
      </c>
      <c r="P24" s="150"/>
      <c r="Q24" s="150">
        <f>IFERROR(LOOKUP("SATURADOS",PLANTAS[[#This Row],[CONDICION]],PLANTAS[[#This Row],[CANT]]),0)</f>
        <v>0</v>
      </c>
      <c r="R24" s="150">
        <f>IFERROR(LOOKUP("SATURADOS",PLANTAS[[#This Row],[CONDICION]],PLANTAS[[#This Row],[CANT ]]),0)</f>
        <v>0</v>
      </c>
    </row>
    <row r="25" spans="1:18" s="272" customFormat="1" ht="21" hidden="1" customHeight="1" x14ac:dyDescent="0.25">
      <c r="A25" s="303">
        <f t="shared" si="0"/>
        <v>20</v>
      </c>
      <c r="B25" s="143" t="s">
        <v>453</v>
      </c>
      <c r="C25" s="143" t="s">
        <v>288</v>
      </c>
      <c r="D25" s="278" t="s">
        <v>289</v>
      </c>
      <c r="E25" s="296" t="s">
        <v>421</v>
      </c>
      <c r="F25" s="147" t="s">
        <v>23</v>
      </c>
      <c r="G25" s="285" t="s">
        <v>454</v>
      </c>
      <c r="H25" s="285" t="s">
        <v>25</v>
      </c>
      <c r="I25" s="285">
        <v>6</v>
      </c>
      <c r="J25" s="291" t="s">
        <v>455</v>
      </c>
      <c r="K25" s="285"/>
      <c r="L25" s="291" t="s">
        <v>27</v>
      </c>
      <c r="M25" s="280">
        <v>46773</v>
      </c>
      <c r="N25" s="304">
        <f ca="1">PLANTAS[[#This Row],[PROXIMO CAMBIO]]-$D$1</f>
        <v>756</v>
      </c>
      <c r="O25" s="147" t="str">
        <f ca="1">IF($D$1&lt;=PLANTAS[[#This Row],[PROXIMO CAMBIO]],"VIGENTE","VENCIDO")</f>
        <v>VIGENTE</v>
      </c>
      <c r="P25" s="150"/>
      <c r="Q25" s="150">
        <f>IFERROR(LOOKUP("SATURADOS",PLANTAS[[#This Row],[CONDICION]],PLANTAS[[#This Row],[CANT]]),0)</f>
        <v>0</v>
      </c>
      <c r="R25" s="150">
        <f>IFERROR(LOOKUP("SATURADOS",PLANTAS[[#This Row],[CONDICION]],PLANTAS[[#This Row],[CANT ]]),0)</f>
        <v>0</v>
      </c>
    </row>
    <row r="26" spans="1:18" s="272" customFormat="1" ht="21" customHeight="1" x14ac:dyDescent="0.25">
      <c r="A26" s="303">
        <f t="shared" si="0"/>
        <v>21</v>
      </c>
      <c r="B26" s="143" t="s">
        <v>443</v>
      </c>
      <c r="C26" s="143" t="s">
        <v>269</v>
      </c>
      <c r="D26" s="278" t="s">
        <v>270</v>
      </c>
      <c r="E26" s="296" t="s">
        <v>245</v>
      </c>
      <c r="F26" s="147" t="s">
        <v>23</v>
      </c>
      <c r="G26" s="143" t="s">
        <v>33</v>
      </c>
      <c r="H26" s="143" t="s">
        <v>25</v>
      </c>
      <c r="I26" s="143">
        <v>4</v>
      </c>
      <c r="J26" s="289" t="s">
        <v>51</v>
      </c>
      <c r="K26" s="143">
        <v>2</v>
      </c>
      <c r="L26" s="289" t="s">
        <v>69</v>
      </c>
      <c r="M26" s="280">
        <v>44429</v>
      </c>
      <c r="N26" s="143">
        <f ca="1">PLANTAS[[#This Row],[PROXIMO CAMBIO]]-$D$1</f>
        <v>-1588</v>
      </c>
      <c r="O26" s="147" t="str">
        <f ca="1">IF($D$1&lt;=PLANTAS[[#This Row],[PROXIMO CAMBIO]],"VIGENTE","VENCIDO")</f>
        <v>VENCIDO</v>
      </c>
      <c r="P26" s="150" t="s">
        <v>438</v>
      </c>
      <c r="Q26" s="150">
        <f>IFERROR(LOOKUP("SATURADOS",PLANTAS[[#This Row],[CONDICION]],PLANTAS[[#This Row],[CANT]]),0)</f>
        <v>4</v>
      </c>
      <c r="R26" s="150">
        <f>IFERROR(LOOKUP("SATURADOS",PLANTAS[[#This Row],[CONDICION]],PLANTAS[[#This Row],[CANT ]]),0)</f>
        <v>2</v>
      </c>
    </row>
    <row r="27" spans="1:18" s="272" customFormat="1" ht="21" customHeight="1" x14ac:dyDescent="0.25">
      <c r="A27" s="303">
        <f t="shared" si="0"/>
        <v>22</v>
      </c>
      <c r="B27" s="143" t="s">
        <v>443</v>
      </c>
      <c r="C27" s="143" t="s">
        <v>250</v>
      </c>
      <c r="D27" s="278" t="s">
        <v>251</v>
      </c>
      <c r="E27" s="296" t="s">
        <v>245</v>
      </c>
      <c r="F27" s="143" t="s">
        <v>23</v>
      </c>
      <c r="G27" s="283" t="s">
        <v>33</v>
      </c>
      <c r="H27" s="283" t="s">
        <v>25</v>
      </c>
      <c r="I27" s="283">
        <v>4</v>
      </c>
      <c r="J27" s="143" t="s">
        <v>51</v>
      </c>
      <c r="K27" s="285">
        <v>3</v>
      </c>
      <c r="L27" s="287" t="s">
        <v>307</v>
      </c>
      <c r="M27" s="280">
        <v>44337</v>
      </c>
      <c r="N27" s="143">
        <f ca="1">PLANTAS[[#This Row],[PROXIMO CAMBIO]]-$D$1</f>
        <v>-1680</v>
      </c>
      <c r="O27" s="147" t="str">
        <f ca="1">IF($D$1&lt;=PLANTAS[[#This Row],[PROXIMO CAMBIO]],"VIGENTE","VENCIDO")</f>
        <v>VENCIDO</v>
      </c>
      <c r="P27" s="150" t="s">
        <v>438</v>
      </c>
      <c r="Q27" s="150">
        <f>IFERROR(LOOKUP("SATURADOS",PLANTAS[[#This Row],[CONDICION]],PLANTAS[[#This Row],[CANT]]),0)</f>
        <v>4</v>
      </c>
      <c r="R27" s="150">
        <f>IFERROR(LOOKUP("SATURADOS",PLANTAS[[#This Row],[CONDICION]],PLANTAS[[#This Row],[CANT ]]),0)</f>
        <v>3</v>
      </c>
    </row>
    <row r="28" spans="1:18" s="272" customFormat="1" ht="21" hidden="1" customHeight="1" x14ac:dyDescent="0.25">
      <c r="A28" s="303">
        <f t="shared" si="0"/>
        <v>23</v>
      </c>
      <c r="B28" s="143" t="s">
        <v>444</v>
      </c>
      <c r="C28" s="143" t="s">
        <v>276</v>
      </c>
      <c r="D28" s="278" t="s">
        <v>277</v>
      </c>
      <c r="E28" s="296" t="s">
        <v>260</v>
      </c>
      <c r="F28" s="143" t="s">
        <v>23</v>
      </c>
      <c r="G28" s="143" t="s">
        <v>95</v>
      </c>
      <c r="H28" s="143" t="s">
        <v>40</v>
      </c>
      <c r="I28" s="143">
        <v>1</v>
      </c>
      <c r="J28" s="299" t="s">
        <v>294</v>
      </c>
      <c r="K28" s="143"/>
      <c r="L28" s="147" t="s">
        <v>27</v>
      </c>
      <c r="M28" s="280">
        <v>46167</v>
      </c>
      <c r="N28" s="143">
        <f ca="1">PLANTAS[[#This Row],[PROXIMO CAMBIO]]-$D$1</f>
        <v>150</v>
      </c>
      <c r="O28" s="147" t="str">
        <f ca="1">IF($D$1&lt;=PLANTAS[[#This Row],[PROXIMO CAMBIO]],"VIGENTE","VENCIDO")</f>
        <v>VIGENTE</v>
      </c>
      <c r="P28" s="150"/>
      <c r="Q28" s="150">
        <f>IFERROR(LOOKUP("SATURADOS",PLANTAS[[#This Row],[CONDICION]],PLANTAS[[#This Row],[CANT]]),0)</f>
        <v>0</v>
      </c>
      <c r="R28" s="150">
        <f>IFERROR(LOOKUP("SATURADOS",PLANTAS[[#This Row],[CONDICION]],PLANTAS[[#This Row],[CANT ]]),0)</f>
        <v>0</v>
      </c>
    </row>
    <row r="29" spans="1:18" s="272" customFormat="1" ht="21" hidden="1" customHeight="1" x14ac:dyDescent="0.25">
      <c r="A29" s="303">
        <f t="shared" si="0"/>
        <v>24</v>
      </c>
      <c r="B29" s="143" t="s">
        <v>444</v>
      </c>
      <c r="C29" s="143" t="s">
        <v>276</v>
      </c>
      <c r="D29" s="278" t="s">
        <v>277</v>
      </c>
      <c r="E29" s="296" t="s">
        <v>260</v>
      </c>
      <c r="F29" s="143" t="s">
        <v>89</v>
      </c>
      <c r="G29" s="285" t="s">
        <v>95</v>
      </c>
      <c r="H29" s="285" t="s">
        <v>40</v>
      </c>
      <c r="I29" s="285">
        <v>2</v>
      </c>
      <c r="J29" s="300" t="s">
        <v>297</v>
      </c>
      <c r="K29" s="285"/>
      <c r="L29" s="291" t="s">
        <v>27</v>
      </c>
      <c r="M29" s="280">
        <v>46167</v>
      </c>
      <c r="N29" s="143">
        <f ca="1">PLANTAS[[#This Row],[PROXIMO CAMBIO]]-$D$1</f>
        <v>150</v>
      </c>
      <c r="O29" s="147" t="str">
        <f ca="1">IF($D$1&lt;=PLANTAS[[#This Row],[PROXIMO CAMBIO]],"VIGENTE","VENCIDO")</f>
        <v>VIGENTE</v>
      </c>
      <c r="P29" s="150"/>
      <c r="Q29" s="150">
        <f>IFERROR(LOOKUP("SATURADOS",PLANTAS[[#This Row],[CONDICION]],PLANTAS[[#This Row],[CANT]]),0)</f>
        <v>0</v>
      </c>
      <c r="R29" s="150">
        <f>IFERROR(LOOKUP("SATURADOS",PLANTAS[[#This Row],[CONDICION]],PLANTAS[[#This Row],[CANT ]]),0)</f>
        <v>0</v>
      </c>
    </row>
    <row r="30" spans="1:18" s="272" customFormat="1" ht="21" customHeight="1" x14ac:dyDescent="0.25">
      <c r="A30" s="303">
        <f t="shared" si="0"/>
        <v>25</v>
      </c>
      <c r="B30" s="143" t="s">
        <v>447</v>
      </c>
      <c r="C30" s="143" t="s">
        <v>266</v>
      </c>
      <c r="D30" s="278" t="s">
        <v>267</v>
      </c>
      <c r="E30" s="296" t="s">
        <v>245</v>
      </c>
      <c r="F30" s="147" t="s">
        <v>89</v>
      </c>
      <c r="G30" s="143" t="s">
        <v>33</v>
      </c>
      <c r="H30" s="143" t="s">
        <v>40</v>
      </c>
      <c r="I30" s="143">
        <v>2</v>
      </c>
      <c r="J30" s="143" t="s">
        <v>252</v>
      </c>
      <c r="K30" s="143">
        <v>1</v>
      </c>
      <c r="L30" s="301" t="s">
        <v>255</v>
      </c>
      <c r="M30" s="280">
        <v>44368</v>
      </c>
      <c r="N30" s="143">
        <f ca="1">PLANTAS[[#This Row],[PROXIMO CAMBIO]]-$D$1</f>
        <v>-1649</v>
      </c>
      <c r="O30" s="147" t="str">
        <f ca="1">IF($D$1&lt;=PLANTAS[[#This Row],[PROXIMO CAMBIO]],"VIGENTE","VENCIDO")</f>
        <v>VENCIDO</v>
      </c>
      <c r="P30" s="150" t="s">
        <v>438</v>
      </c>
      <c r="Q30" s="150">
        <f>IFERROR(LOOKUP("SATURADOS",PLANTAS[[#This Row],[CONDICION]],PLANTAS[[#This Row],[CANT]]),0)</f>
        <v>2</v>
      </c>
      <c r="R30" s="150">
        <f>IFERROR(LOOKUP("SATURADOS",PLANTAS[[#This Row],[CONDICION]],PLANTAS[[#This Row],[CANT ]]),0)</f>
        <v>1</v>
      </c>
    </row>
    <row r="31" spans="1:18" s="272" customFormat="1" ht="21" hidden="1" customHeight="1" x14ac:dyDescent="0.25">
      <c r="A31" s="303">
        <f t="shared" si="0"/>
        <v>26</v>
      </c>
      <c r="B31" s="143" t="s">
        <v>444</v>
      </c>
      <c r="C31" s="143" t="s">
        <v>276</v>
      </c>
      <c r="D31" s="278" t="s">
        <v>277</v>
      </c>
      <c r="E31" s="302" t="s">
        <v>245</v>
      </c>
      <c r="F31" s="143" t="s">
        <v>89</v>
      </c>
      <c r="G31" s="281" t="s">
        <v>33</v>
      </c>
      <c r="H31" s="281" t="s">
        <v>40</v>
      </c>
      <c r="I31" s="143">
        <v>2</v>
      </c>
      <c r="J31" s="143" t="s">
        <v>456</v>
      </c>
      <c r="K31" s="143">
        <v>1</v>
      </c>
      <c r="L31" s="143" t="s">
        <v>66</v>
      </c>
      <c r="M31" s="280">
        <v>43272</v>
      </c>
      <c r="N31" s="143">
        <f ca="1">PLANTAS[[#This Row],[PROXIMO CAMBIO]]-$D$1</f>
        <v>-2745</v>
      </c>
      <c r="O31" s="147" t="str">
        <f ca="1">IF($D$1&lt;=PLANTAS[[#This Row],[PROXIMO CAMBIO]],"VIGENTE","VENCIDO")</f>
        <v>VENCIDO</v>
      </c>
      <c r="P31" s="150" t="s">
        <v>438</v>
      </c>
      <c r="Q31" s="150">
        <f>IFERROR(LOOKUP("SATURADOS",PLANTAS[[#This Row],[CONDICION]],PLANTAS[[#This Row],[CANT]]),0)</f>
        <v>2</v>
      </c>
      <c r="R31" s="150">
        <f>IFERROR(LOOKUP("SATURADOS",PLANTAS[[#This Row],[CONDICION]],PLANTAS[[#This Row],[CANT ]]),0)</f>
        <v>1</v>
      </c>
    </row>
    <row r="32" spans="1:18" s="272" customFormat="1" ht="21" customHeight="1" x14ac:dyDescent="0.25">
      <c r="A32" s="303">
        <f t="shared" si="0"/>
        <v>27</v>
      </c>
      <c r="B32" s="143" t="s">
        <v>443</v>
      </c>
      <c r="C32" s="143" t="s">
        <v>250</v>
      </c>
      <c r="D32" s="278" t="s">
        <v>251</v>
      </c>
      <c r="E32" s="302" t="s">
        <v>245</v>
      </c>
      <c r="F32" s="147" t="s">
        <v>89</v>
      </c>
      <c r="G32" s="143" t="s">
        <v>33</v>
      </c>
      <c r="H32" s="143" t="s">
        <v>40</v>
      </c>
      <c r="I32" s="143">
        <v>2</v>
      </c>
      <c r="J32" s="143" t="s">
        <v>252</v>
      </c>
      <c r="K32" s="285">
        <v>1</v>
      </c>
      <c r="L32" s="291" t="s">
        <v>253</v>
      </c>
      <c r="M32" s="280">
        <v>44368</v>
      </c>
      <c r="N32" s="143">
        <f ca="1">PLANTAS[[#This Row],[PROXIMO CAMBIO]]-$D$1</f>
        <v>-1649</v>
      </c>
      <c r="O32" s="147" t="str">
        <f ca="1">IF($D$1&lt;=PLANTAS[[#This Row],[PROXIMO CAMBIO]],"VIGENTE","VENCIDO")</f>
        <v>VENCIDO</v>
      </c>
      <c r="P32" s="150" t="s">
        <v>438</v>
      </c>
      <c r="Q32" s="150">
        <f>IFERROR(LOOKUP("SATURADOS",PLANTAS[[#This Row],[CONDICION]],PLANTAS[[#This Row],[CANT]]),0)</f>
        <v>2</v>
      </c>
      <c r="R32" s="150">
        <f>IFERROR(LOOKUP("SATURADOS",PLANTAS[[#This Row],[CONDICION]],PLANTAS[[#This Row],[CANT ]]),0)</f>
        <v>1</v>
      </c>
    </row>
    <row r="33" spans="1:18" s="272" customFormat="1" ht="21" hidden="1" customHeight="1" x14ac:dyDescent="0.25">
      <c r="A33" s="303">
        <f t="shared" si="0"/>
        <v>28</v>
      </c>
      <c r="B33" s="143" t="s">
        <v>444</v>
      </c>
      <c r="C33" s="143" t="s">
        <v>276</v>
      </c>
      <c r="D33" s="278" t="s">
        <v>277</v>
      </c>
      <c r="E33" s="302" t="s">
        <v>245</v>
      </c>
      <c r="F33" s="143" t="s">
        <v>23</v>
      </c>
      <c r="G33" s="283" t="s">
        <v>33</v>
      </c>
      <c r="H33" s="283" t="s">
        <v>25</v>
      </c>
      <c r="I33" s="143">
        <v>1</v>
      </c>
      <c r="J33" s="143" t="s">
        <v>46</v>
      </c>
      <c r="K33" s="143">
        <v>1</v>
      </c>
      <c r="L33" s="143" t="s">
        <v>66</v>
      </c>
      <c r="M33" s="280">
        <v>43278</v>
      </c>
      <c r="N33" s="143">
        <f ca="1">PLANTAS[[#This Row],[PROXIMO CAMBIO]]-$D$1</f>
        <v>-2739</v>
      </c>
      <c r="O33" s="147" t="str">
        <f ca="1">IF($D$1&lt;=PLANTAS[[#This Row],[PROXIMO CAMBIO]],"VIGENTE","VENCIDO")</f>
        <v>VENCIDO</v>
      </c>
      <c r="P33" s="150" t="s">
        <v>438</v>
      </c>
      <c r="Q33" s="150">
        <f>IFERROR(LOOKUP("SATURADOS",PLANTAS[[#This Row],[CONDICION]],PLANTAS[[#This Row],[CANT]]),0)</f>
        <v>1</v>
      </c>
      <c r="R33" s="150">
        <f>IFERROR(LOOKUP("SATURADOS",PLANTAS[[#This Row],[CONDICION]],PLANTAS[[#This Row],[CANT ]]),0)</f>
        <v>1</v>
      </c>
    </row>
    <row r="34" spans="1:18" s="272" customFormat="1" ht="21" customHeight="1" x14ac:dyDescent="0.25">
      <c r="A34" s="303">
        <f t="shared" si="0"/>
        <v>29</v>
      </c>
      <c r="B34" s="143" t="s">
        <v>442</v>
      </c>
      <c r="C34" s="143" t="s">
        <v>282</v>
      </c>
      <c r="D34" s="278" t="s">
        <v>283</v>
      </c>
      <c r="E34" s="302" t="s">
        <v>245</v>
      </c>
      <c r="F34" s="143" t="s">
        <v>23</v>
      </c>
      <c r="G34" s="143" t="s">
        <v>33</v>
      </c>
      <c r="H34" s="143" t="s">
        <v>25</v>
      </c>
      <c r="I34" s="143">
        <v>3</v>
      </c>
      <c r="J34" s="143" t="s">
        <v>51</v>
      </c>
      <c r="K34" s="285">
        <v>4</v>
      </c>
      <c r="L34" s="291" t="s">
        <v>307</v>
      </c>
      <c r="M34" s="280">
        <v>46439</v>
      </c>
      <c r="N34" s="143">
        <f ca="1">PLANTAS[[#This Row],[PROXIMO CAMBIO]]-$D$1</f>
        <v>422</v>
      </c>
      <c r="O34" s="147" t="str">
        <f ca="1">IF($D$1&lt;=PLANTAS[[#This Row],[PROXIMO CAMBIO]],"VIGENTE","VENCIDO")</f>
        <v>VIGENTE</v>
      </c>
      <c r="P34" s="150"/>
      <c r="Q34" s="150">
        <f>IFERROR(LOOKUP("SATURADOS",PLANTAS[[#This Row],[CONDICION]],PLANTAS[[#This Row],[CANT]]),0)</f>
        <v>0</v>
      </c>
      <c r="R34" s="150">
        <f>IFERROR(LOOKUP("SATURADOS",PLANTAS[[#This Row],[CONDICION]],PLANTAS[[#This Row],[CANT ]]),0)</f>
        <v>0</v>
      </c>
    </row>
    <row r="35" spans="1:18" s="272" customFormat="1" ht="21" hidden="1" customHeight="1" x14ac:dyDescent="0.25">
      <c r="A35" s="303">
        <f t="shared" si="0"/>
        <v>30</v>
      </c>
      <c r="B35" s="143" t="s">
        <v>445</v>
      </c>
      <c r="C35" s="143" t="s">
        <v>418</v>
      </c>
      <c r="D35" s="278" t="s">
        <v>439</v>
      </c>
      <c r="E35" s="296" t="s">
        <v>245</v>
      </c>
      <c r="F35" s="143" t="s">
        <v>89</v>
      </c>
      <c r="G35" s="143" t="s">
        <v>33</v>
      </c>
      <c r="H35" s="143" t="s">
        <v>40</v>
      </c>
      <c r="I35" s="143">
        <v>2</v>
      </c>
      <c r="J35" s="143" t="s">
        <v>272</v>
      </c>
      <c r="K35" s="143">
        <v>1</v>
      </c>
      <c r="L35" s="147" t="s">
        <v>253</v>
      </c>
      <c r="M35" s="280">
        <v>46774</v>
      </c>
      <c r="N35" s="143">
        <f ca="1">PLANTAS[[#This Row],[PROXIMO CAMBIO]]-$D$1</f>
        <v>757</v>
      </c>
      <c r="O35" s="147" t="str">
        <f ca="1">IF($D$1&lt;=PLANTAS[[#This Row],[PROXIMO CAMBIO]],"VIGENTE","VENCIDO")</f>
        <v>VIGENTE</v>
      </c>
      <c r="P35" s="150"/>
      <c r="Q35" s="321">
        <f>IFERROR(LOOKUP("SATURADOS",PLANTAS[[#This Row],[CONDICION]],PLANTAS[[#This Row],[CANT]]),0)</f>
        <v>0</v>
      </c>
      <c r="R35" s="150">
        <f>IFERROR(LOOKUP("SATURADOS",PLANTAS[[#This Row],[CONDICION]],PLANTAS[[#This Row],[CANT ]]),0)</f>
        <v>0</v>
      </c>
    </row>
    <row r="36" spans="1:18" s="272" customFormat="1" ht="21" customHeight="1" x14ac:dyDescent="0.25">
      <c r="A36" s="303">
        <f t="shared" si="0"/>
        <v>31</v>
      </c>
      <c r="B36" s="143" t="s">
        <v>445</v>
      </c>
      <c r="C36" s="143" t="s">
        <v>418</v>
      </c>
      <c r="D36" s="278" t="s">
        <v>439</v>
      </c>
      <c r="E36" s="296" t="s">
        <v>245</v>
      </c>
      <c r="F36" s="143" t="s">
        <v>23</v>
      </c>
      <c r="G36" s="143" t="s">
        <v>33</v>
      </c>
      <c r="H36" s="143" t="s">
        <v>25</v>
      </c>
      <c r="I36" s="143">
        <v>2</v>
      </c>
      <c r="J36" s="143" t="s">
        <v>51</v>
      </c>
      <c r="K36" s="143">
        <v>1</v>
      </c>
      <c r="L36" s="147" t="s">
        <v>446</v>
      </c>
      <c r="M36" s="280">
        <v>46774</v>
      </c>
      <c r="N36" s="143">
        <f ca="1">PLANTAS[[#This Row],[PROXIMO CAMBIO]]-$D$1</f>
        <v>757</v>
      </c>
      <c r="O36" s="147" t="str">
        <f ca="1">IF($D$1&lt;=PLANTAS[[#This Row],[PROXIMO CAMBIO]],"VIGENTE","VENCIDO")</f>
        <v>VIGENTE</v>
      </c>
      <c r="P36" s="150"/>
      <c r="Q36" s="150">
        <f>IFERROR(LOOKUP("SATURADOS",PLANTAS[[#This Row],[CONDICION]],PLANTAS[[#This Row],[CANT]]),0)</f>
        <v>0</v>
      </c>
      <c r="R36" s="150">
        <f>IFERROR(LOOKUP("SATURADOS",PLANTAS[[#This Row],[CONDICION]],PLANTAS[[#This Row],[CANT ]]),0)</f>
        <v>0</v>
      </c>
    </row>
    <row r="37" spans="1:18" s="272" customFormat="1" ht="21" hidden="1" customHeight="1" x14ac:dyDescent="0.25">
      <c r="A37" s="303">
        <f t="shared" si="0"/>
        <v>32</v>
      </c>
      <c r="B37" s="143" t="s">
        <v>442</v>
      </c>
      <c r="C37" s="143" t="s">
        <v>286</v>
      </c>
      <c r="D37" s="278" t="s">
        <v>287</v>
      </c>
      <c r="E37" s="296" t="s">
        <v>260</v>
      </c>
      <c r="F37" s="143" t="s">
        <v>89</v>
      </c>
      <c r="G37" s="143" t="s">
        <v>95</v>
      </c>
      <c r="H37" s="143" t="s">
        <v>40</v>
      </c>
      <c r="I37" s="143">
        <v>1</v>
      </c>
      <c r="J37" s="143" t="s">
        <v>458</v>
      </c>
      <c r="K37" s="143"/>
      <c r="L37" s="147" t="s">
        <v>27</v>
      </c>
      <c r="M37" s="280">
        <v>46143</v>
      </c>
      <c r="N37" s="143">
        <f ca="1">PLANTAS[[#This Row],[PROXIMO CAMBIO]]-$D$1</f>
        <v>126</v>
      </c>
      <c r="O37" s="147" t="str">
        <f ca="1">IF($D$1&lt;=PLANTAS[[#This Row],[PROXIMO CAMBIO]],"VIGENTE","VENCIDO")</f>
        <v>VIGENTE</v>
      </c>
      <c r="P37" s="150"/>
      <c r="Q37" s="306">
        <f>IFERROR(LOOKUP("SATURADOS",PLANTAS[[#This Row],[CONDICION]],PLANTAS[[#This Row],[CANT]]),0)</f>
        <v>0</v>
      </c>
      <c r="R37" s="150">
        <f>IFERROR(LOOKUP("SATURADOS",PLANTAS[[#This Row],[CONDICION]],PLANTAS[[#This Row],[CANT ]]),0)</f>
        <v>0</v>
      </c>
    </row>
    <row r="38" spans="1:18" s="272" customFormat="1" ht="21" hidden="1" customHeight="1" x14ac:dyDescent="0.25">
      <c r="A38" s="303">
        <f t="shared" si="0"/>
        <v>33</v>
      </c>
      <c r="B38" s="143" t="s">
        <v>447</v>
      </c>
      <c r="C38" s="143" t="s">
        <v>284</v>
      </c>
      <c r="D38" s="278" t="s">
        <v>285</v>
      </c>
      <c r="E38" s="296" t="s">
        <v>245</v>
      </c>
      <c r="F38" s="143" t="s">
        <v>23</v>
      </c>
      <c r="G38" s="143" t="s">
        <v>33</v>
      </c>
      <c r="H38" s="143" t="s">
        <v>40</v>
      </c>
      <c r="I38" s="143">
        <v>2</v>
      </c>
      <c r="J38" s="143" t="s">
        <v>246</v>
      </c>
      <c r="K38" s="143">
        <v>2</v>
      </c>
      <c r="L38" s="147" t="s">
        <v>247</v>
      </c>
      <c r="M38" s="280">
        <v>44248</v>
      </c>
      <c r="N38" s="143">
        <f ca="1">PLANTAS[[#This Row],[PROXIMO CAMBIO]]-$D$1</f>
        <v>-1769</v>
      </c>
      <c r="O38" s="147" t="str">
        <f ca="1">IF($D$1&lt;=PLANTAS[[#This Row],[PROXIMO CAMBIO]],"VIGENTE","VENCIDO")</f>
        <v>VENCIDO</v>
      </c>
      <c r="P38" s="150" t="s">
        <v>438</v>
      </c>
      <c r="Q38" s="306">
        <f>IFERROR(LOOKUP("SATURADOS",PLANTAS[[#This Row],[CONDICION]],PLANTAS[[#This Row],[CANT]]),0)</f>
        <v>2</v>
      </c>
      <c r="R38" s="150">
        <f>IFERROR(LOOKUP("SATURADOS",PLANTAS[[#This Row],[CONDICION]],PLANTAS[[#This Row],[CANT ]]),0)</f>
        <v>2</v>
      </c>
    </row>
    <row r="39" spans="1:18" s="272" customFormat="1" ht="21" hidden="1" customHeight="1" x14ac:dyDescent="0.25">
      <c r="A39" s="303">
        <f t="shared" si="0"/>
        <v>34</v>
      </c>
      <c r="B39" s="143" t="s">
        <v>442</v>
      </c>
      <c r="C39" s="143" t="s">
        <v>286</v>
      </c>
      <c r="D39" s="278" t="s">
        <v>287</v>
      </c>
      <c r="E39" s="296" t="s">
        <v>260</v>
      </c>
      <c r="F39" s="143" t="s">
        <v>23</v>
      </c>
      <c r="G39" s="143" t="s">
        <v>95</v>
      </c>
      <c r="H39" s="143" t="s">
        <v>40</v>
      </c>
      <c r="I39" s="143"/>
      <c r="J39" s="143"/>
      <c r="K39" s="143"/>
      <c r="L39" s="147"/>
      <c r="M39" s="280"/>
      <c r="N39" s="280"/>
      <c r="O39" s="147"/>
      <c r="P39" s="150"/>
      <c r="Q39" s="306">
        <f>IFERROR(LOOKUP("SATURADOS",PLANTAS[[#This Row],[CONDICION]],PLANTAS[[#This Row],[CANT]]),0)</f>
        <v>0</v>
      </c>
      <c r="R39" s="150">
        <f>IFERROR(LOOKUP("SATURADOS",PLANTAS[[#This Row],[CONDICION]],PLANTAS[[#This Row],[CANT ]]),0)</f>
        <v>0</v>
      </c>
    </row>
    <row r="40" spans="1:18" s="272" customFormat="1" ht="21" hidden="1" customHeight="1" x14ac:dyDescent="0.25">
      <c r="A40" s="303">
        <f t="shared" si="0"/>
        <v>35</v>
      </c>
      <c r="B40" s="143" t="s">
        <v>442</v>
      </c>
      <c r="C40" s="143" t="s">
        <v>286</v>
      </c>
      <c r="D40" s="278" t="s">
        <v>287</v>
      </c>
      <c r="E40" s="296" t="s">
        <v>260</v>
      </c>
      <c r="F40" s="143" t="s">
        <v>23</v>
      </c>
      <c r="G40" s="143" t="s">
        <v>95</v>
      </c>
      <c r="H40" s="143" t="s">
        <v>40</v>
      </c>
      <c r="I40" s="143"/>
      <c r="J40" s="143"/>
      <c r="K40" s="143"/>
      <c r="L40" s="143"/>
      <c r="M40" s="280"/>
      <c r="N40" s="280"/>
      <c r="O40" s="147"/>
      <c r="P40" s="150"/>
      <c r="Q40" s="306">
        <f>IFERROR(LOOKUP("SATURADOS",PLANTAS[[#This Row],[CONDICION]],PLANTAS[[#This Row],[CANT]]),0)</f>
        <v>0</v>
      </c>
      <c r="R40" s="150">
        <f>IFERROR(LOOKUP("SATURADOS",PLANTAS[[#This Row],[CONDICION]],PLANTAS[[#This Row],[CANT ]]),0)</f>
        <v>0</v>
      </c>
    </row>
    <row r="41" spans="1:18" s="272" customFormat="1" ht="21" hidden="1" customHeight="1" x14ac:dyDescent="0.25">
      <c r="A41" s="303">
        <f t="shared" si="0"/>
        <v>36</v>
      </c>
      <c r="B41" s="285" t="s">
        <v>442</v>
      </c>
      <c r="C41" s="285" t="s">
        <v>286</v>
      </c>
      <c r="D41" s="294" t="s">
        <v>287</v>
      </c>
      <c r="E41" s="343" t="s">
        <v>245</v>
      </c>
      <c r="F41" s="285" t="s">
        <v>23</v>
      </c>
      <c r="G41" s="281" t="s">
        <v>33</v>
      </c>
      <c r="H41" s="281" t="s">
        <v>40</v>
      </c>
      <c r="I41" s="285">
        <v>2</v>
      </c>
      <c r="J41" s="286" t="s">
        <v>78</v>
      </c>
      <c r="K41" s="285">
        <v>1</v>
      </c>
      <c r="L41" s="291" t="s">
        <v>424</v>
      </c>
      <c r="M41" s="320">
        <v>46624</v>
      </c>
      <c r="N41" s="285">
        <f ca="1">PLANTAS[[#This Row],[PROXIMO CAMBIO]]-$D$1</f>
        <v>607</v>
      </c>
      <c r="O41" s="291" t="str">
        <f ca="1">IF($D$1&lt;=PLANTAS[[#This Row],[PROXIMO CAMBIO]],"VIGENTE","VENCIDO")</f>
        <v>VIGENTE</v>
      </c>
      <c r="P41" s="321"/>
      <c r="Q41" s="342">
        <f>IFERROR(LOOKUP("SATURADOS",PLANTAS[[#This Row],[CONDICION]],PLANTAS[[#This Row],[CANT]]),0)</f>
        <v>0</v>
      </c>
      <c r="R41" s="321">
        <f>IFERROR(LOOKUP("SATURADOS",PLANTAS[[#This Row],[CONDICION]],PLANTAS[[#This Row],[CANT ]]),0)</f>
        <v>0</v>
      </c>
    </row>
    <row r="42" spans="1:18" s="272" customFormat="1" ht="21" hidden="1" customHeight="1" x14ac:dyDescent="0.25">
      <c r="A42" s="303">
        <f t="shared" si="0"/>
        <v>37</v>
      </c>
      <c r="B42" s="143" t="s">
        <v>442</v>
      </c>
      <c r="C42" s="143" t="s">
        <v>286</v>
      </c>
      <c r="D42" s="278" t="s">
        <v>287</v>
      </c>
      <c r="E42" s="302" t="s">
        <v>245</v>
      </c>
      <c r="F42" s="143" t="s">
        <v>89</v>
      </c>
      <c r="G42" s="143" t="s">
        <v>33</v>
      </c>
      <c r="H42" s="143" t="s">
        <v>40</v>
      </c>
      <c r="I42" s="143">
        <v>2</v>
      </c>
      <c r="J42" s="143" t="s">
        <v>272</v>
      </c>
      <c r="K42" s="143">
        <v>1</v>
      </c>
      <c r="L42" s="143" t="s">
        <v>253</v>
      </c>
      <c r="M42" s="280">
        <v>45464</v>
      </c>
      <c r="N42" s="143">
        <f ca="1">PLANTAS[[#This Row],[PROXIMO CAMBIO]]-$D$1</f>
        <v>-553</v>
      </c>
      <c r="O42" s="143" t="str">
        <f ca="1">IF($D$1&lt;=PLANTAS[[#This Row],[PROXIMO CAMBIO]],"VIGENTE","VENCIDO")</f>
        <v>VENCIDO</v>
      </c>
      <c r="P42" s="150" t="s">
        <v>438</v>
      </c>
      <c r="Q42" s="150">
        <f>IFERROR(LOOKUP("SATURADOS",PLANTAS[[#This Row],[CONDICION]],PLANTAS[[#This Row],[CANT]]),0)</f>
        <v>2</v>
      </c>
      <c r="R42" s="150">
        <f>IFERROR(LOOKUP("SATURADOS",PLANTAS[[#This Row],[CONDICION]],PLANTAS[[#This Row],[CANT ]]),0)</f>
        <v>1</v>
      </c>
    </row>
    <row r="43" spans="1:18" ht="21" customHeight="1" x14ac:dyDescent="0.25">
      <c r="A43" s="132" t="s">
        <v>423</v>
      </c>
      <c r="I43" s="344">
        <f>SUBTOTAL(109,PLANTAS[CANT])</f>
        <v>41</v>
      </c>
      <c r="J43" s="133"/>
      <c r="K43" s="344">
        <f>SUBTOTAL(109,PLANTAS[[CANT ]])</f>
        <v>26</v>
      </c>
      <c r="M43" s="322"/>
      <c r="N43" s="323"/>
      <c r="O43" s="311"/>
      <c r="P43" s="311"/>
      <c r="Q43" s="311"/>
      <c r="R43" s="311"/>
    </row>
    <row r="44" spans="1:18" ht="21" customHeight="1" x14ac:dyDescent="0.25">
      <c r="J44" s="134"/>
      <c r="M44" s="132"/>
      <c r="N44" s="132"/>
      <c r="R44" s="135"/>
    </row>
    <row r="45" spans="1:18" ht="21" customHeight="1" x14ac:dyDescent="0.25">
      <c r="J45" s="134"/>
      <c r="M45" s="132"/>
      <c r="N45" s="132"/>
      <c r="R45" s="135"/>
    </row>
    <row r="46" spans="1:18" ht="21" customHeight="1" x14ac:dyDescent="0.25">
      <c r="J46" s="134"/>
      <c r="M46" s="132"/>
      <c r="N46" s="132"/>
      <c r="R46" s="135"/>
    </row>
    <row r="47" spans="1:18" ht="21" customHeight="1" x14ac:dyDescent="0.25">
      <c r="J47" s="134"/>
      <c r="M47" s="132"/>
      <c r="N47" s="132"/>
      <c r="R47" s="135"/>
    </row>
  </sheetData>
  <mergeCells count="6">
    <mergeCell ref="A3:R3"/>
    <mergeCell ref="A4:F4"/>
    <mergeCell ref="G4:L4"/>
    <mergeCell ref="M4:R4"/>
    <mergeCell ref="A1:C1"/>
    <mergeCell ref="E1:H1"/>
  </mergeCells>
  <phoneticPr fontId="3" type="noConversion"/>
  <conditionalFormatting sqref="N6:N15 N18:N38 N41:N42">
    <cfRule type="cellIs" dxfId="74" priority="135" operator="lessThan">
      <formula>121</formula>
    </cfRule>
  </conditionalFormatting>
  <conditionalFormatting sqref="O6:O42">
    <cfRule type="containsText" dxfId="73" priority="142" operator="containsText" text="VENCIDO">
      <formula>NOT(ISERROR(SEARCH("VENCIDO",O6)))</formula>
    </cfRule>
    <cfRule type="containsText" dxfId="72" priority="143" operator="containsText" text="PROX A VENCER">
      <formula>NOT(ISERROR(SEARCH("PROX A VENCER",O6)))</formula>
    </cfRule>
    <cfRule type="containsText" dxfId="71" priority="144" operator="containsText" text="PROX A VENCER">
      <formula>NOT(ISERROR(SEARCH("PROX A VENCER",O6)))</formula>
    </cfRule>
    <cfRule type="containsText" dxfId="70" priority="145" operator="containsText" text="PROX A VENCER">
      <formula>NOT(ISERROR(SEARCH("PROX A VENCER",O6)))</formula>
    </cfRule>
    <cfRule type="containsText" dxfId="69" priority="146" operator="containsText" text="PROX A VENCER">
      <formula>NOT(ISERROR(SEARCH("PROX A VENCER",O6)))</formula>
    </cfRule>
    <cfRule type="containsText" dxfId="68" priority="147" operator="containsText" text="PROXIMO">
      <formula>NOT(ISERROR(SEARCH("PROXIMO",O6)))</formula>
    </cfRule>
  </conditionalFormatting>
  <conditionalFormatting sqref="O16:O17">
    <cfRule type="containsText" dxfId="67" priority="105" operator="containsText" text="VENCIDO">
      <formula>NOT(ISERROR(SEARCH("VENCIDO",O16)))</formula>
    </cfRule>
    <cfRule type="containsText" dxfId="66" priority="106" operator="containsText" text="PROX A VENCER">
      <formula>NOT(ISERROR(SEARCH("PROX A VENCER",O16)))</formula>
    </cfRule>
    <cfRule type="containsText" dxfId="65" priority="107" operator="containsText" text="PROX A VENCER">
      <formula>NOT(ISERROR(SEARCH("PROX A VENCER",O16)))</formula>
    </cfRule>
    <cfRule type="containsText" dxfId="64" priority="108" operator="containsText" text="PROX A VENCER">
      <formula>NOT(ISERROR(SEARCH("PROX A VENCER",O16)))</formula>
    </cfRule>
    <cfRule type="containsText" dxfId="63" priority="109" operator="containsText" text="PROX A VENCER">
      <formula>NOT(ISERROR(SEARCH("PROX A VENCER",O16)))</formula>
    </cfRule>
    <cfRule type="containsText" dxfId="62" priority="110" operator="containsText" text="PROXIMO">
      <formula>NOT(ISERROR(SEARCH("PROXIMO",O16)))</formula>
    </cfRule>
  </conditionalFormatting>
  <conditionalFormatting sqref="P6:P36 P37:Q42">
    <cfRule type="containsText" dxfId="61" priority="8" operator="containsText" text="SATURADOS">
      <formula>NOT(ISERROR(SEARCH("SATURADOS",P6)))</formula>
    </cfRule>
    <cfRule type="containsText" dxfId="60" priority="9" operator="containsText" text="VENCIDO">
      <formula>NOT(ISERROR(SEARCH("VENCIDO",P6)))</formula>
    </cfRule>
    <cfRule type="containsText" dxfId="59" priority="10" operator="containsText" text="PROX A VENCER">
      <formula>NOT(ISERROR(SEARCH("PROX A VENCER",P6)))</formula>
    </cfRule>
    <cfRule type="containsText" dxfId="58" priority="11" operator="containsText" text="PROX A VENCER">
      <formula>NOT(ISERROR(SEARCH("PROX A VENCER",P6)))</formula>
    </cfRule>
    <cfRule type="containsText" dxfId="57" priority="12" operator="containsText" text="PROX A VENCER">
      <formula>NOT(ISERROR(SEARCH("PROX A VENCER",P6)))</formula>
    </cfRule>
    <cfRule type="containsText" dxfId="56" priority="13" operator="containsText" text="PROX A VENCER">
      <formula>NOT(ISERROR(SEARCH("PROX A VENCER",P6)))</formula>
    </cfRule>
    <cfRule type="containsText" dxfId="55" priority="14" operator="containsText" text="PROXIMO">
      <formula>NOT(ISERROR(SEARCH("PROXIMO",P6)))</formula>
    </cfRule>
  </conditionalFormatting>
  <conditionalFormatting sqref="Q6:Q36">
    <cfRule type="containsText" dxfId="54" priority="1" operator="containsText" text="SATURADOS">
      <formula>NOT(ISERROR(SEARCH("SATURADOS",Q6)))</formula>
    </cfRule>
    <cfRule type="containsText" dxfId="53" priority="2" operator="containsText" text="VENCIDO">
      <formula>NOT(ISERROR(SEARCH("VENCIDO",Q6)))</formula>
    </cfRule>
    <cfRule type="containsText" dxfId="52" priority="3" operator="containsText" text="PROX A VENCER">
      <formula>NOT(ISERROR(SEARCH("PROX A VENCER",Q6)))</formula>
    </cfRule>
    <cfRule type="containsText" dxfId="51" priority="4" operator="containsText" text="PROX A VENCER">
      <formula>NOT(ISERROR(SEARCH("PROX A VENCER",Q6)))</formula>
    </cfRule>
    <cfRule type="containsText" dxfId="50" priority="5" operator="containsText" text="PROX A VENCER">
      <formula>NOT(ISERROR(SEARCH("PROX A VENCER",Q6)))</formula>
    </cfRule>
    <cfRule type="containsText" dxfId="49" priority="6" operator="containsText" text="PROX A VENCER">
      <formula>NOT(ISERROR(SEARCH("PROX A VENCER",Q6)))</formula>
    </cfRule>
    <cfRule type="containsText" dxfId="48" priority="7" operator="containsText" text="PROXIMO">
      <formula>NOT(ISERROR(SEARCH("PROXIMO",Q6)))</formula>
    </cfRule>
  </conditionalFormatting>
  <pageMargins left="0.25" right="0.25" top="0.75" bottom="0.75" header="0.3" footer="0.3"/>
  <pageSetup scale="5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FBB6-1BD8-436E-BA39-99796AC0678D}">
  <sheetPr codeName="Hoja4"/>
  <dimension ref="A1:AA83"/>
  <sheetViews>
    <sheetView tabSelected="1" view="pageBreakPreview" zoomScaleNormal="85" zoomScaleSheetLayoutView="100" workbookViewId="0">
      <selection activeCell="S26" sqref="S26"/>
    </sheetView>
  </sheetViews>
  <sheetFormatPr baseColWidth="10" defaultRowHeight="16.5" x14ac:dyDescent="0.25"/>
  <cols>
    <col min="1" max="1" width="3.7109375" style="132" customWidth="1"/>
    <col min="2" max="2" width="11.7109375" style="133" customWidth="1"/>
    <col min="3" max="4" width="6.7109375" style="133" customWidth="1"/>
    <col min="5" max="6" width="15.7109375" style="133" customWidth="1"/>
    <col min="7" max="7" width="2.7109375" customWidth="1"/>
    <col min="8" max="8" width="3.7109375" style="132" customWidth="1"/>
    <col min="9" max="9" width="11.7109375" style="133" customWidth="1"/>
    <col min="10" max="11" width="6.7109375" style="133" customWidth="1"/>
    <col min="12" max="13" width="15.7109375" style="133" customWidth="1"/>
    <col min="14" max="15" width="3.7109375" customWidth="1"/>
    <col min="16" max="16" width="11.7109375" customWidth="1"/>
    <col min="17" max="18" width="5.7109375" customWidth="1"/>
    <col min="19" max="20" width="15.7109375" customWidth="1"/>
    <col min="21" max="21" width="2.7109375" customWidth="1"/>
    <col min="22" max="22" width="3.7109375" style="132" customWidth="1"/>
    <col min="23" max="23" width="11.7109375" style="133" customWidth="1"/>
    <col min="24" max="25" width="5.7109375" style="133" customWidth="1"/>
    <col min="26" max="27" width="15.7109375" style="133" customWidth="1"/>
  </cols>
  <sheetData>
    <row r="1" spans="1:27" ht="27" x14ac:dyDescent="0.25">
      <c r="A1" s="394" t="s">
        <v>475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</row>
    <row r="2" spans="1:27" x14ac:dyDescent="0.25">
      <c r="A2" s="133"/>
      <c r="G2" s="133"/>
      <c r="H2" s="133"/>
    </row>
    <row r="3" spans="1:27" x14ac:dyDescent="0.25">
      <c r="A3" s="395" t="s">
        <v>474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</row>
    <row r="5" spans="1:27" ht="15.95" customHeight="1" x14ac:dyDescent="0.25">
      <c r="A5" s="398" t="s">
        <v>132</v>
      </c>
      <c r="B5" s="398"/>
      <c r="C5" s="411">
        <f ca="1">TODAY()</f>
        <v>46017</v>
      </c>
      <c r="D5" s="411"/>
      <c r="E5" s="375" t="e" vm="1">
        <v>#VALUE!</v>
      </c>
      <c r="F5" s="376" cm="1">
        <f t="array" aca="1" ref="F5" ca="1">_FV(E5,"Precio")</f>
        <v>3693.25</v>
      </c>
      <c r="H5"/>
      <c r="I5"/>
      <c r="J5"/>
      <c r="K5"/>
      <c r="L5"/>
      <c r="M5"/>
      <c r="V5"/>
      <c r="W5"/>
      <c r="X5"/>
      <c r="Y5"/>
      <c r="Z5"/>
      <c r="AA5"/>
    </row>
    <row r="6" spans="1:27" x14ac:dyDescent="0.25">
      <c r="A6" s="364"/>
      <c r="B6" s="364"/>
      <c r="C6" s="365"/>
      <c r="D6" s="365"/>
      <c r="E6" s="308"/>
      <c r="F6" s="363"/>
      <c r="H6"/>
      <c r="I6"/>
      <c r="J6"/>
      <c r="K6"/>
      <c r="L6"/>
      <c r="M6"/>
      <c r="V6"/>
      <c r="W6"/>
      <c r="X6"/>
      <c r="Y6"/>
      <c r="Z6"/>
      <c r="AA6"/>
    </row>
    <row r="7" spans="1:27" x14ac:dyDescent="0.25">
      <c r="A7" s="364"/>
      <c r="B7" s="364"/>
      <c r="C7" s="365"/>
      <c r="D7" s="365"/>
      <c r="E7" s="308"/>
      <c r="F7" s="363"/>
      <c r="H7" s="396" t="s">
        <v>472</v>
      </c>
      <c r="I7" s="396"/>
      <c r="J7" s="396"/>
      <c r="K7" s="373">
        <f>D12+K12</f>
        <v>71</v>
      </c>
      <c r="L7" s="313">
        <f>E12+L12</f>
        <v>12178.39</v>
      </c>
      <c r="M7" s="314">
        <f ca="1">F12+M12</f>
        <v>44977838.8675</v>
      </c>
    </row>
    <row r="8" spans="1:27" x14ac:dyDescent="0.25">
      <c r="A8" s="364"/>
      <c r="B8" s="364"/>
      <c r="C8" s="365"/>
      <c r="D8" s="365"/>
      <c r="E8" s="308"/>
      <c r="F8" s="363"/>
      <c r="H8" s="406" t="s">
        <v>473</v>
      </c>
      <c r="I8" s="407"/>
      <c r="J8" s="408"/>
      <c r="K8" s="374">
        <v>0.25</v>
      </c>
      <c r="L8" s="313">
        <f>L7*K8</f>
        <v>3044.5974999999999</v>
      </c>
      <c r="M8" s="314">
        <f ca="1">L8*F5</f>
        <v>11244459.716875</v>
      </c>
    </row>
    <row r="9" spans="1:27" x14ac:dyDescent="0.25">
      <c r="A9" s="364"/>
      <c r="B9" s="364"/>
      <c r="C9" s="365"/>
      <c r="D9" s="365"/>
      <c r="E9" s="308"/>
      <c r="F9" s="363"/>
      <c r="H9" s="403" t="s">
        <v>470</v>
      </c>
      <c r="I9" s="404"/>
      <c r="J9" s="404"/>
      <c r="K9" s="405"/>
      <c r="L9" s="315">
        <f>SUM(L7:L8)</f>
        <v>15222.987499999999</v>
      </c>
      <c r="M9" s="316">
        <f ca="1">SUM(M7:M8)</f>
        <v>56222298.584375001</v>
      </c>
    </row>
    <row r="10" spans="1:27" x14ac:dyDescent="0.25">
      <c r="B10" s="135"/>
      <c r="C10" s="135"/>
      <c r="D10" s="135"/>
      <c r="E10" s="135"/>
      <c r="F10" s="135"/>
      <c r="I10" s="135"/>
      <c r="J10" s="135"/>
      <c r="K10" s="135"/>
      <c r="L10" s="135"/>
      <c r="M10" s="372"/>
    </row>
    <row r="11" spans="1:27" ht="16.5" customHeight="1" x14ac:dyDescent="0.3">
      <c r="A11" s="399" t="s">
        <v>414</v>
      </c>
      <c r="B11" s="400"/>
      <c r="C11" s="400"/>
      <c r="D11" s="400"/>
      <c r="E11" s="400"/>
      <c r="F11" s="400"/>
      <c r="G11" s="349"/>
      <c r="H11" s="401" t="s">
        <v>414</v>
      </c>
      <c r="I11" s="400"/>
      <c r="J11" s="400"/>
      <c r="K11" s="400"/>
      <c r="L11" s="400"/>
      <c r="M11" s="402"/>
    </row>
    <row r="12" spans="1:27" ht="21" customHeight="1" x14ac:dyDescent="0.3">
      <c r="A12" s="399" t="s">
        <v>467</v>
      </c>
      <c r="B12" s="409"/>
      <c r="C12" s="143">
        <f>SUBTOTAL(109,Tabla186[CANT ISTA])</f>
        <v>106</v>
      </c>
      <c r="D12" s="153">
        <f>SUBTOTAL(109,Tabla186[PARA CAMB])</f>
        <v>61</v>
      </c>
      <c r="E12" s="315">
        <f>SUBTOTAL(109,E14:E28)</f>
        <v>9617.39</v>
      </c>
      <c r="F12" s="316">
        <f ca="1">SUBTOTAL(109,F14:F28)</f>
        <v>35519425.6175</v>
      </c>
      <c r="G12" s="349"/>
      <c r="H12" s="401" t="s">
        <v>467</v>
      </c>
      <c r="I12" s="409"/>
      <c r="J12" s="143">
        <f>SUM(Tabla1869[CANT ISTA])</f>
        <v>22</v>
      </c>
      <c r="K12" s="153">
        <f>SUBTOTAL(109,Tabla1869[PARA CAMB])</f>
        <v>10</v>
      </c>
      <c r="L12" s="315">
        <f>SUBTOTAL(109,L14:L24)</f>
        <v>2561</v>
      </c>
      <c r="M12" s="350">
        <f ca="1">SUBTOTAL(109,M14:M24)</f>
        <v>9458413.2499999981</v>
      </c>
    </row>
    <row r="13" spans="1:27" ht="29.25" customHeight="1" x14ac:dyDescent="0.25">
      <c r="A13" s="355" t="s">
        <v>3</v>
      </c>
      <c r="B13" s="139" t="s">
        <v>13</v>
      </c>
      <c r="C13" s="307" t="s">
        <v>465</v>
      </c>
      <c r="D13" s="307" t="s">
        <v>466</v>
      </c>
      <c r="E13" s="139" t="s">
        <v>410</v>
      </c>
      <c r="F13" s="141" t="s">
        <v>409</v>
      </c>
      <c r="H13" s="137" t="s">
        <v>3</v>
      </c>
      <c r="I13" s="139" t="s">
        <v>15</v>
      </c>
      <c r="J13" s="307" t="s">
        <v>465</v>
      </c>
      <c r="K13" s="307" t="s">
        <v>466</v>
      </c>
      <c r="L13" s="139" t="s">
        <v>410</v>
      </c>
      <c r="M13" s="356" t="s">
        <v>409</v>
      </c>
    </row>
    <row r="14" spans="1:27" ht="18" customHeight="1" x14ac:dyDescent="0.25">
      <c r="A14" s="351">
        <v>1</v>
      </c>
      <c r="B14" s="24" t="s">
        <v>458</v>
      </c>
      <c r="C14" s="143">
        <f>SUMIF(REFUELLERS[1º ETAPA],Tabla186[[#This Row],[1º ETAPA]],REFUELLERS[CANT])</f>
        <v>2</v>
      </c>
      <c r="D14" s="143">
        <f>SUMIF(REFUELLERS[1º ETAPA],Tabla186[[#This Row],[1º ETAPA]],REFUELLERS[V 1°])</f>
        <v>0</v>
      </c>
      <c r="E14" s="146">
        <f>IF(D14=0,"0",(IFERROR(LOOKUP(B14,Costos!$B$5:$B$100,Costos!$C$5:$C$100),0)))*Tabla186[[#This Row],[PARA CAMB]]</f>
        <v>0</v>
      </c>
      <c r="F14" s="273">
        <f ca="1">Tabla186[[#This Row],[DÓLAR]]*$F$5</f>
        <v>0</v>
      </c>
      <c r="H14" s="303">
        <v>1</v>
      </c>
      <c r="I14" s="76" t="s">
        <v>426</v>
      </c>
      <c r="J14" s="143">
        <f>SUMIF(REFUELLERS[2º ETAPA],Tabla1869[[#This Row],[2º ETAPA]],REFUELLERS[[CANT ]])</f>
        <v>1</v>
      </c>
      <c r="K14" s="143">
        <f>SUMIF(REFUELLERS[2º ETAPA],Tabla1869[[#This Row],[2º ETAPA]],REFUELLERS[V 2°])</f>
        <v>1</v>
      </c>
      <c r="L14" s="146">
        <f>IF(K14=0,"0",(IFERROR(LOOKUP(I14,Costos!$B$5:$B$100,Costos!$C$5:$C$100),0)))*Tabla1869[[#This Row],[PARA CAMB]]</f>
        <v>256.10000000000002</v>
      </c>
      <c r="M14" s="352">
        <f ca="1">Tabla1869[[#This Row],[DÓLAR]]*$F$5</f>
        <v>945841.32500000007</v>
      </c>
    </row>
    <row r="15" spans="1:27" ht="18" customHeight="1" x14ac:dyDescent="0.25">
      <c r="A15" s="351">
        <f>A14+1</f>
        <v>2</v>
      </c>
      <c r="B15" s="24" t="s">
        <v>457</v>
      </c>
      <c r="C15" s="143">
        <f>SUMIF(REFUELLERS[1º ETAPA],Tabla186[[#This Row],[1º ETAPA]],REFUELLERS[CANT])</f>
        <v>2</v>
      </c>
      <c r="D15" s="143">
        <f>SUMIF(REFUELLERS[1º ETAPA],Tabla186[[#This Row],[1º ETAPA]],REFUELLERS[V 1°])</f>
        <v>1</v>
      </c>
      <c r="E15" s="146">
        <f>IF(D15=0,"0",(IFERROR(LOOKUP(B15,Costos!$B$5:$B$100,Costos!$C$5:$C$100),0)))*Tabla186[[#This Row],[PARA CAMB]]</f>
        <v>314</v>
      </c>
      <c r="F15" s="273">
        <f ca="1">Tabla186[[#This Row],[DÓLAR]]*$F$5</f>
        <v>1159680.5</v>
      </c>
      <c r="H15" s="303">
        <f>H14+1</f>
        <v>2</v>
      </c>
      <c r="I15" s="336" t="s">
        <v>37</v>
      </c>
      <c r="J15" s="143">
        <f>SUMIF(REFUELLERS[2º ETAPA],Tabla1869[[#This Row],[2º ETAPA]],REFUELLERS[[CANT ]])</f>
        <v>1</v>
      </c>
      <c r="K15" s="143">
        <f>SUMIF(REFUELLERS[2º ETAPA],Tabla1869[[#This Row],[2º ETAPA]],REFUELLERS[V 2°])</f>
        <v>0</v>
      </c>
      <c r="L15" s="146">
        <f>IF(K15=0,"0",(IFERROR(LOOKUP(I15,Costos!$B$5:$B$100,Costos!$C$5:$C$100),0)))*Tabla1869[[#This Row],[PARA CAMB]]</f>
        <v>0</v>
      </c>
      <c r="M15" s="352">
        <f ca="1">Tabla1869[[#This Row],[DÓLAR]]*$F$5</f>
        <v>0</v>
      </c>
    </row>
    <row r="16" spans="1:27" ht="18" customHeight="1" x14ac:dyDescent="0.25">
      <c r="A16" s="351">
        <f t="shared" ref="A16:A28" si="0">A15+1</f>
        <v>3</v>
      </c>
      <c r="B16" s="24" t="s">
        <v>433</v>
      </c>
      <c r="C16" s="143">
        <f>SUMIF(REFUELLERS[1º ETAPA],Tabla186[[#This Row],[1º ETAPA]],REFUELLERS[CANT])</f>
        <v>4</v>
      </c>
      <c r="D16" s="143">
        <f>SUMIF(REFUELLERS[1º ETAPA],Tabla186[[#This Row],[1º ETAPA]],REFUELLERS[V 1°])</f>
        <v>4</v>
      </c>
      <c r="E16" s="146">
        <f>IF(D16=0,"0",(IFERROR(LOOKUP(B16,Costos!$B$5:$B$100,Costos!$C$5:$C$100),0)))*Tabla186[[#This Row],[PARA CAMB]]</f>
        <v>1256</v>
      </c>
      <c r="F16" s="273">
        <f ca="1">Tabla186[[#This Row],[DÓLAR]]*$F$5</f>
        <v>4638722</v>
      </c>
      <c r="H16" s="303">
        <f t="shared" ref="H16:H24" si="1">H15+1</f>
        <v>3</v>
      </c>
      <c r="I16" s="76" t="s">
        <v>306</v>
      </c>
      <c r="J16" s="143">
        <f>SUMIF(REFUELLERS[2º ETAPA],Tabla1869[[#This Row],[2º ETAPA]],REFUELLERS[[CANT ]])</f>
        <v>3</v>
      </c>
      <c r="K16" s="143">
        <f>SUMIF(REFUELLERS[2º ETAPA],Tabla1869[[#This Row],[2º ETAPA]],REFUELLERS[V 2°])</f>
        <v>1</v>
      </c>
      <c r="L16" s="146">
        <f>IF(K16=0,"0",(IFERROR(LOOKUP(I16,Costos!$B$5:$B$100,Costos!$C$5:$C$100),0)))*Tabla1869[[#This Row],[PARA CAMB]]</f>
        <v>256.10000000000002</v>
      </c>
      <c r="M16" s="352">
        <f ca="1">Tabla1869[[#This Row],[DÓLAR]]*$F$5</f>
        <v>945841.32500000007</v>
      </c>
    </row>
    <row r="17" spans="1:13" ht="18" customHeight="1" x14ac:dyDescent="0.25">
      <c r="A17" s="351">
        <f t="shared" si="0"/>
        <v>4</v>
      </c>
      <c r="B17" s="333" t="s">
        <v>46</v>
      </c>
      <c r="C17" s="143">
        <f>SUMIF(REFUELLERS[1º ETAPA],Tabla186[[#This Row],[1º ETAPA]],REFUELLERS[CANT])</f>
        <v>11</v>
      </c>
      <c r="D17" s="281">
        <f>SUMIF(REFUELLERS[1º ETAPA],Tabla186[[#This Row],[1º ETAPA]],REFUELLERS[V 1°])</f>
        <v>4</v>
      </c>
      <c r="E17" s="146">
        <f>IF(D17=0,"0",(IFERROR(LOOKUP(B17,Costos!$B$5:$B$100,Costos!$C$5:$C$100),0)))*Tabla186[[#This Row],[PARA CAMB]]</f>
        <v>403.68</v>
      </c>
      <c r="F17" s="273">
        <f ca="1">Tabla186[[#This Row],[DÓLAR]]*$F$5</f>
        <v>1490891.16</v>
      </c>
      <c r="H17" s="303">
        <f t="shared" si="1"/>
        <v>4</v>
      </c>
      <c r="I17" s="337" t="s">
        <v>42</v>
      </c>
      <c r="J17" s="143">
        <f>SUMIF(REFUELLERS[2º ETAPA],Tabla1869[[#This Row],[2º ETAPA]],REFUELLERS[[CANT ]])</f>
        <v>2</v>
      </c>
      <c r="K17" s="281">
        <f>SUMIF(REFUELLERS[2º ETAPA],Tabla1869[[#This Row],[2º ETAPA]],REFUELLERS[V 2°])</f>
        <v>1</v>
      </c>
      <c r="L17" s="146">
        <f>IF(K17=0,"0",(IFERROR(LOOKUP(I17,Costos!$B$5:$B$100,Costos!$C$5:$C$100),0)))*Tabla1869[[#This Row],[PARA CAMB]]</f>
        <v>256.10000000000002</v>
      </c>
      <c r="M17" s="352">
        <f ca="1">Tabla1869[[#This Row],[DÓLAR]]*$F$5</f>
        <v>945841.32500000007</v>
      </c>
    </row>
    <row r="18" spans="1:13" ht="18" customHeight="1" x14ac:dyDescent="0.25">
      <c r="A18" s="351">
        <f t="shared" si="0"/>
        <v>5</v>
      </c>
      <c r="B18" s="24" t="s">
        <v>51</v>
      </c>
      <c r="C18" s="143">
        <f>SUMIF(REFUELLERS[1º ETAPA],Tabla186[[#This Row],[1º ETAPA]],REFUELLERS[CANT])</f>
        <v>2</v>
      </c>
      <c r="D18" s="143">
        <f>SUMIF(REFUELLERS[1º ETAPA],Tabla186[[#This Row],[1º ETAPA]],REFUELLERS[V 1°])</f>
        <v>2</v>
      </c>
      <c r="E18" s="146">
        <f>IF(D18=0,"0",(IFERROR(LOOKUP(B18,Costos!$B$5:$B$100,Costos!$C$5:$C$100),0)))*Tabla186[[#This Row],[PARA CAMB]]</f>
        <v>405.18</v>
      </c>
      <c r="F18" s="273">
        <f ca="1">Tabla186[[#This Row],[DÓLAR]]*$F$5</f>
        <v>1496431.0349999999</v>
      </c>
      <c r="H18" s="303">
        <f t="shared" si="1"/>
        <v>5</v>
      </c>
      <c r="I18" s="76" t="s">
        <v>440</v>
      </c>
      <c r="J18" s="143">
        <f>SUMIF(REFUELLERS[2º ETAPA],Tabla1869[[#This Row],[2º ETAPA]],REFUELLERS[[CANT ]])</f>
        <v>1</v>
      </c>
      <c r="K18" s="143">
        <f>SUMIF(REFUELLERS[2º ETAPA],Tabla1869[[#This Row],[2º ETAPA]],REFUELLERS[V 2°])</f>
        <v>0</v>
      </c>
      <c r="L18" s="146">
        <f>IF(K18=0,"0",(IFERROR(LOOKUP(I18,Costos!$B$5:$B$100,Costos!$C$5:$C$100),0)))*Tabla1869[[#This Row],[PARA CAMB]]</f>
        <v>0</v>
      </c>
      <c r="M18" s="352">
        <f ca="1">Tabla1869[[#This Row],[DÓLAR]]*$F$5</f>
        <v>0</v>
      </c>
    </row>
    <row r="19" spans="1:13" ht="18" customHeight="1" x14ac:dyDescent="0.25">
      <c r="A19" s="351">
        <f t="shared" si="0"/>
        <v>6</v>
      </c>
      <c r="B19" s="24" t="s">
        <v>452</v>
      </c>
      <c r="C19" s="143">
        <f>SUMIF(REFUELLERS[1º ETAPA],Tabla186[[#This Row],[1º ETAPA]],REFUELLERS[CANT])</f>
        <v>6</v>
      </c>
      <c r="D19" s="143">
        <f>SUMIF(REFUELLERS[1º ETAPA],Tabla186[[#This Row],[1º ETAPA]],REFUELLERS[V 1°])</f>
        <v>6</v>
      </c>
      <c r="E19" s="146">
        <f>IF(D19=0,"0",(IFERROR(LOOKUP(B19,Costos!$B$5:$B$100,Costos!$C$5:$C$100),0)))*Tabla186[[#This Row],[PARA CAMB]]</f>
        <v>1215.54</v>
      </c>
      <c r="F19" s="273">
        <f ca="1">Tabla186[[#This Row],[DÓLAR]]*$F$5</f>
        <v>4489293.1049999995</v>
      </c>
      <c r="H19" s="303">
        <f t="shared" si="1"/>
        <v>6</v>
      </c>
      <c r="I19" s="338" t="s">
        <v>48</v>
      </c>
      <c r="J19" s="143">
        <f>SUMIF(REFUELLERS[2º ETAPA],Tabla1869[[#This Row],[2º ETAPA]],REFUELLERS[[CANT ]])</f>
        <v>1</v>
      </c>
      <c r="K19" s="143">
        <f>SUMIF(REFUELLERS[2º ETAPA],Tabla1869[[#This Row],[2º ETAPA]],REFUELLERS[V 2°])</f>
        <v>0</v>
      </c>
      <c r="L19" s="146">
        <f>IF(K19=0,"0",(IFERROR(LOOKUP(I19,Costos!$B$5:$B$100,Costos!$C$5:$C$100),0)))*Tabla1869[[#This Row],[PARA CAMB]]</f>
        <v>0</v>
      </c>
      <c r="M19" s="352">
        <f ca="1">Tabla1869[[#This Row],[DÓLAR]]*$F$5</f>
        <v>0</v>
      </c>
    </row>
    <row r="20" spans="1:13" ht="18" customHeight="1" x14ac:dyDescent="0.25">
      <c r="A20" s="351">
        <f t="shared" si="0"/>
        <v>7</v>
      </c>
      <c r="B20" s="24" t="s">
        <v>34</v>
      </c>
      <c r="C20" s="143">
        <f>SUMIF(REFUELLERS[1º ETAPA],Tabla186[[#This Row],[1º ETAPA]],REFUELLERS[CANT])</f>
        <v>21</v>
      </c>
      <c r="D20" s="143">
        <f>SUMIF(REFUELLERS[1º ETAPA],Tabla186[[#This Row],[1º ETAPA]],REFUELLERS[V 1°])</f>
        <v>12</v>
      </c>
      <c r="E20" s="146">
        <f>IF(D20=0,"0",(IFERROR(LOOKUP(B20,Costos!$B$5:$B$100,Costos!$C$5:$C$100),0)))*Tabla186[[#This Row],[PARA CAMB]]</f>
        <v>3113.3999999999996</v>
      </c>
      <c r="F20" s="273">
        <f ca="1">Tabla186[[#This Row],[DÓLAR]]*$F$5</f>
        <v>11498564.549999999</v>
      </c>
      <c r="H20" s="303">
        <f t="shared" si="1"/>
        <v>7</v>
      </c>
      <c r="I20" s="76" t="s">
        <v>52</v>
      </c>
      <c r="J20" s="143">
        <f>SUMIF(REFUELLERS[2º ETAPA],Tabla1869[[#This Row],[2º ETAPA]],REFUELLERS[[CANT ]])</f>
        <v>1</v>
      </c>
      <c r="K20" s="143">
        <f>SUMIF(REFUELLERS[2º ETAPA],Tabla1869[[#This Row],[2º ETAPA]],REFUELLERS[V 2°])</f>
        <v>0</v>
      </c>
      <c r="L20" s="146">
        <f>IF(K20=0,"0",(IFERROR(LOOKUP(I20,Costos!$B$5:$B$100,Costos!$C$5:$C$100),0)))*Tabla1869[[#This Row],[PARA CAMB]]</f>
        <v>0</v>
      </c>
      <c r="M20" s="352">
        <f ca="1">Tabla1869[[#This Row],[DÓLAR]]*$F$5</f>
        <v>0</v>
      </c>
    </row>
    <row r="21" spans="1:13" ht="18" customHeight="1" x14ac:dyDescent="0.25">
      <c r="A21" s="351">
        <f t="shared" si="0"/>
        <v>8</v>
      </c>
      <c r="B21" s="334" t="s">
        <v>60</v>
      </c>
      <c r="C21" s="143">
        <f>SUMIF(REFUELLERS[1º ETAPA],Tabla186[[#This Row],[1º ETAPA]],REFUELLERS[CANT])</f>
        <v>10</v>
      </c>
      <c r="D21" s="283">
        <f>SUMIF(REFUELLERS[1º ETAPA],Tabla186[[#This Row],[1º ETAPA]],REFUELLERS[V 1°])</f>
        <v>0</v>
      </c>
      <c r="E21" s="146">
        <f>IF(D21=0,"0",(IFERROR(LOOKUP(B21,Costos!$B$5:$B$100,Costos!$C$5:$C$100),0)))*Tabla186[[#This Row],[PARA CAMB]]</f>
        <v>0</v>
      </c>
      <c r="F21" s="273">
        <f ca="1">Tabla186[[#This Row],[DÓLAR]]*$F$5</f>
        <v>0</v>
      </c>
      <c r="H21" s="303">
        <f t="shared" si="1"/>
        <v>8</v>
      </c>
      <c r="I21" s="339" t="s">
        <v>35</v>
      </c>
      <c r="J21" s="143">
        <f>SUMIF(REFUELLERS[2º ETAPA],Tabla1869[[#This Row],[2º ETAPA]],REFUELLERS[[CANT ]])</f>
        <v>8</v>
      </c>
      <c r="K21" s="283">
        <f>SUMIF(REFUELLERS[2º ETAPA],Tabla1869[[#This Row],[2º ETAPA]],REFUELLERS[V 2°])</f>
        <v>5</v>
      </c>
      <c r="L21" s="146">
        <f>IF(K21=0,"0",(IFERROR(LOOKUP(I21,Costos!$B$5:$B$100,Costos!$C$5:$C$100),0)))*Tabla1869[[#This Row],[PARA CAMB]]</f>
        <v>1280.5</v>
      </c>
      <c r="M21" s="352">
        <f ca="1">Tabla1869[[#This Row],[DÓLAR]]*$F$5</f>
        <v>4729206.625</v>
      </c>
    </row>
    <row r="22" spans="1:13" ht="18" customHeight="1" x14ac:dyDescent="0.25">
      <c r="A22" s="351">
        <f t="shared" si="0"/>
        <v>9</v>
      </c>
      <c r="B22" s="24" t="s">
        <v>65</v>
      </c>
      <c r="C22" s="143">
        <f>SUMIF(REFUELLERS[1º ETAPA],Tabla186[[#This Row],[1º ETAPA]],REFUELLERS[CANT])</f>
        <v>2</v>
      </c>
      <c r="D22" s="143">
        <f>SUMIF(REFUELLERS[1º ETAPA],Tabla186[[#This Row],[1º ETAPA]],REFUELLERS[V 1°])</f>
        <v>2</v>
      </c>
      <c r="E22" s="146">
        <f>IF(D22=0,"0",(IFERROR(LOOKUP(B22,Costos!$B$5:$B$100,Costos!$C$5:$C$100),0)))*Tabla186[[#This Row],[PARA CAMB]]</f>
        <v>311.5</v>
      </c>
      <c r="F22" s="273">
        <f ca="1">Tabla186[[#This Row],[DÓLAR]]*$F$5</f>
        <v>1150447.375</v>
      </c>
      <c r="H22" s="303">
        <f t="shared" si="1"/>
        <v>9</v>
      </c>
      <c r="I22" s="338" t="s">
        <v>66</v>
      </c>
      <c r="J22" s="143">
        <f>SUMIF(REFUELLERS[2º ETAPA],Tabla1869[[#This Row],[2º ETAPA]],REFUELLERS[[CANT ]])</f>
        <v>2</v>
      </c>
      <c r="K22" s="143">
        <f>SUMIF(REFUELLERS[2º ETAPA],Tabla1869[[#This Row],[2º ETAPA]],REFUELLERS[V 2°])</f>
        <v>1</v>
      </c>
      <c r="L22" s="146">
        <f>IF(K22=0,"0",(IFERROR(LOOKUP(I22,Costos!$B$5:$B$100,Costos!$C$5:$C$100),0)))*Tabla1869[[#This Row],[PARA CAMB]]</f>
        <v>256.10000000000002</v>
      </c>
      <c r="M22" s="352">
        <f ca="1">Tabla1869[[#This Row],[DÓLAR]]*$F$5</f>
        <v>945841.32500000007</v>
      </c>
    </row>
    <row r="23" spans="1:13" ht="18" customHeight="1" x14ac:dyDescent="0.25">
      <c r="A23" s="351">
        <f t="shared" si="0"/>
        <v>10</v>
      </c>
      <c r="B23" s="24" t="s">
        <v>57</v>
      </c>
      <c r="C23" s="143">
        <f>SUMIF(REFUELLERS[1º ETAPA],Tabla186[[#This Row],[1º ETAPA]],REFUELLERS[CANT])</f>
        <v>27</v>
      </c>
      <c r="D23" s="143">
        <f>SUMIF(REFUELLERS[1º ETAPA],Tabla186[[#This Row],[1º ETAPA]],REFUELLERS[V 1°])</f>
        <v>27</v>
      </c>
      <c r="E23" s="146">
        <f>IF(D23=0,"0",(IFERROR(LOOKUP(B23,Costos!$B$5:$B$100,Costos!$C$5:$C$100),0)))*Tabla186[[#This Row],[PARA CAMB]]</f>
        <v>1829.79</v>
      </c>
      <c r="F23" s="273">
        <f ca="1">Tabla186[[#This Row],[DÓLAR]]*$F$5</f>
        <v>6757871.9174999995</v>
      </c>
      <c r="H23" s="303">
        <f t="shared" si="1"/>
        <v>10</v>
      </c>
      <c r="I23" s="76" t="s">
        <v>72</v>
      </c>
      <c r="J23" s="143">
        <f>SUMIF(REFUELLERS[2º ETAPA],Tabla1869[[#This Row],[2º ETAPA]],REFUELLERS[[CANT ]])</f>
        <v>1</v>
      </c>
      <c r="K23" s="143">
        <f>SUMIF(REFUELLERS[2º ETAPA],Tabla1869[[#This Row],[2º ETAPA]],REFUELLERS[V 2°])</f>
        <v>0</v>
      </c>
      <c r="L23" s="146">
        <f>IF(K23=0,"0",(IFERROR(LOOKUP(I23,Costos!$B$5:$B$100,Costos!$C$5:$C$100),0)))*Tabla1869[[#This Row],[PARA CAMB]]</f>
        <v>0</v>
      </c>
      <c r="M23" s="352">
        <f ca="1">Tabla1869[[#This Row],[DÓLAR]]*$F$5</f>
        <v>0</v>
      </c>
    </row>
    <row r="24" spans="1:13" ht="18" customHeight="1" x14ac:dyDescent="0.25">
      <c r="A24" s="351">
        <f t="shared" si="0"/>
        <v>11</v>
      </c>
      <c r="B24" s="24" t="s">
        <v>297</v>
      </c>
      <c r="C24" s="143">
        <f>SUMIF(REFUELLERS[1º ETAPA],Tabla186[[#This Row],[1º ETAPA]],REFUELLERS[CANT])</f>
        <v>1</v>
      </c>
      <c r="D24" s="143">
        <f>SUMIF(REFUELLERS[1º ETAPA],Tabla186[[#This Row],[1º ETAPA]],REFUELLERS[V 1°])</f>
        <v>0</v>
      </c>
      <c r="E24" s="146">
        <f>IF(D24=0,"0",(IFERROR(LOOKUP(B24,Costos!$B$5:$B$100,Costos!$C$5:$C$100),0)))*Tabla186[[#This Row],[PARA CAMB]]</f>
        <v>0</v>
      </c>
      <c r="F24" s="273">
        <f ca="1">Tabla186[[#This Row],[DÓLAR]]*$F$5</f>
        <v>0</v>
      </c>
      <c r="H24" s="303">
        <f t="shared" si="1"/>
        <v>11</v>
      </c>
      <c r="I24" s="76" t="s">
        <v>69</v>
      </c>
      <c r="J24" s="143">
        <f>SUMIF(REFUELLERS[2º ETAPA],Tabla1869[[#This Row],[2º ETAPA]],REFUELLERS[[CANT ]])</f>
        <v>1</v>
      </c>
      <c r="K24" s="143">
        <f>SUMIF(REFUELLERS[2º ETAPA],Tabla1869[[#This Row],[2º ETAPA]],REFUELLERS[V 2°])</f>
        <v>1</v>
      </c>
      <c r="L24" s="146">
        <f>IF(K24=0,"0",(IFERROR(LOOKUP(I24,Costos!$B$5:$B$100,Costos!$C$5:$C$100),0)))*Tabla1869[[#This Row],[PARA CAMB]]</f>
        <v>256.10000000000002</v>
      </c>
      <c r="M24" s="352">
        <f ca="1">Tabla1869[[#This Row],[DÓLAR]]*$F$5</f>
        <v>945841.32500000007</v>
      </c>
    </row>
    <row r="25" spans="1:13" ht="18" customHeight="1" x14ac:dyDescent="0.25">
      <c r="A25" s="351">
        <f t="shared" si="0"/>
        <v>12</v>
      </c>
      <c r="B25" s="335" t="s">
        <v>78</v>
      </c>
      <c r="C25" s="143">
        <f>SUMIF(REFUELLERS[1º ETAPA],Tabla186[[#This Row],[1º ETAPA]],REFUELLERS[CANT])</f>
        <v>4</v>
      </c>
      <c r="D25" s="285">
        <f>SUMIF(REFUELLERS[1º ETAPA],Tabla186[[#This Row],[1º ETAPA]],REFUELLERS[V 1°])</f>
        <v>0</v>
      </c>
      <c r="E25" s="146">
        <f>IF(D25=0,"0",(IFERROR(LOOKUP(B25,Costos!$B$5:$B$100,Costos!$C$5:$C$100),0)))*Tabla186[[#This Row],[PARA CAMB]]</f>
        <v>0</v>
      </c>
      <c r="F25" s="273">
        <f ca="1">Tabla186[[#This Row],[DÓLAR]]*$F$5</f>
        <v>0</v>
      </c>
      <c r="H25" s="319"/>
    </row>
    <row r="26" spans="1:13" ht="18" customHeight="1" x14ac:dyDescent="0.25">
      <c r="A26" s="351">
        <f t="shared" si="0"/>
        <v>13</v>
      </c>
      <c r="B26" s="24" t="s">
        <v>246</v>
      </c>
      <c r="C26" s="143">
        <f>SUMIF(REFUELLERS[1º ETAPA],Tabla186[[#This Row],[1º ETAPA]],REFUELLERS[CANT])</f>
        <v>3</v>
      </c>
      <c r="D26" s="143">
        <f>SUMIF(REFUELLERS[1º ETAPA],Tabla186[[#This Row],[1º ETAPA]],REFUELLERS[V 1°])</f>
        <v>0</v>
      </c>
      <c r="E26" s="146">
        <f>IF(D26=0,"0",(IFERROR(LOOKUP(B26,Costos!$B$5:$B$100,Costos!$C$5:$C$100),0)))*Tabla186[[#This Row],[PARA CAMB]]</f>
        <v>0</v>
      </c>
      <c r="F26" s="273">
        <f ca="1">Tabla186[[#This Row],[DÓLAR]]*$F$5</f>
        <v>0</v>
      </c>
      <c r="H26" s="308"/>
    </row>
    <row r="27" spans="1:13" ht="18" customHeight="1" x14ac:dyDescent="0.25">
      <c r="A27" s="357">
        <f t="shared" si="0"/>
        <v>14</v>
      </c>
      <c r="B27" s="334" t="s">
        <v>431</v>
      </c>
      <c r="C27" s="143">
        <f>SUMIF(REFUELLERS[1º ETAPA],Tabla186[[#This Row],[1º ETAPA]],REFUELLERS[CANT])</f>
        <v>3</v>
      </c>
      <c r="D27" s="281">
        <f>SUMIF(REFUELLERS[1º ETAPA],Tabla186[[#This Row],[1º ETAPA]],REFUELLERS[V 1°])</f>
        <v>0</v>
      </c>
      <c r="E27" s="146">
        <f>IF(D27=0,"0",(IFERROR(LOOKUP(B27,Costos!$B$5:$B$100,Costos!$C$5:$C$100),0)))*Tabla186[[#This Row],[PARA CAMB]]</f>
        <v>0</v>
      </c>
      <c r="F27" s="312">
        <f ca="1">Tabla186[[#This Row],[DÓLAR]]*$F$5</f>
        <v>0</v>
      </c>
      <c r="H27" s="308"/>
      <c r="I27" s="112"/>
      <c r="J27" s="309"/>
      <c r="K27" s="309"/>
      <c r="L27" s="310"/>
      <c r="M27" s="362"/>
    </row>
    <row r="28" spans="1:13" ht="18" customHeight="1" x14ac:dyDescent="0.25">
      <c r="A28" s="358">
        <f t="shared" si="0"/>
        <v>15</v>
      </c>
      <c r="B28" s="353" t="s">
        <v>41</v>
      </c>
      <c r="C28" s="354">
        <f>SUMIF(REFUELLERS[1º ETAPA],Tabla186[[#This Row],[1º ETAPA]],REFUELLERS[CANT])</f>
        <v>8</v>
      </c>
      <c r="D28" s="354">
        <f>SUMIF(REFUELLERS[1º ETAPA],Tabla186[[#This Row],[1º ETAPA]],REFUELLERS[V 1°])</f>
        <v>3</v>
      </c>
      <c r="E28" s="359">
        <f>IF(D28=0,"0",(IFERROR(LOOKUP(B28,Costos!$B$5:$B$100,Costos!$C$5:$C$100),0)))*Tabla186[[#This Row],[PARA CAMB]]</f>
        <v>768.30000000000007</v>
      </c>
      <c r="F28" s="360">
        <f ca="1">Tabla186[[#This Row],[DÓLAR]]*$F$5</f>
        <v>2837523.9750000001</v>
      </c>
      <c r="H28" s="308"/>
    </row>
    <row r="29" spans="1:13" ht="18" customHeight="1" x14ac:dyDescent="0.25">
      <c r="A29" s="308"/>
      <c r="B29" s="309"/>
      <c r="H29" s="308"/>
      <c r="I29" s="309"/>
      <c r="J29" s="309"/>
      <c r="K29" s="308"/>
      <c r="L29" s="310"/>
      <c r="M29" s="318"/>
    </row>
    <row r="30" spans="1:13" x14ac:dyDescent="0.25">
      <c r="A30"/>
      <c r="B30"/>
      <c r="C30"/>
      <c r="D30"/>
      <c r="E30"/>
      <c r="F30"/>
      <c r="H30" s="396" t="str">
        <f>H7</f>
        <v>REMPLAZO ELEMENTOS</v>
      </c>
      <c r="I30" s="396"/>
      <c r="J30" s="396"/>
      <c r="K30" s="143">
        <f>D35+K35</f>
        <v>48</v>
      </c>
      <c r="L30" s="313">
        <f>E35+L35</f>
        <v>10225.910000000002</v>
      </c>
      <c r="M30" s="314">
        <f ca="1">F35+M35</f>
        <v>37766842.107500002</v>
      </c>
    </row>
    <row r="31" spans="1:13" x14ac:dyDescent="0.25">
      <c r="A31"/>
      <c r="B31"/>
      <c r="C31"/>
      <c r="D31"/>
      <c r="E31"/>
      <c r="F31"/>
      <c r="H31" s="406" t="str">
        <f>H8</f>
        <v>IMPOR Y NACIONALIZA</v>
      </c>
      <c r="I31" s="407"/>
      <c r="J31" s="408"/>
      <c r="K31" s="374">
        <f>K8</f>
        <v>0.25</v>
      </c>
      <c r="L31" s="313">
        <f>L30*K31</f>
        <v>2556.4775000000004</v>
      </c>
      <c r="M31" s="314">
        <f ca="1">L31*F5</f>
        <v>9441710.5268750023</v>
      </c>
    </row>
    <row r="32" spans="1:13" x14ac:dyDescent="0.25">
      <c r="A32"/>
      <c r="B32"/>
      <c r="C32"/>
      <c r="D32"/>
      <c r="E32"/>
      <c r="F32"/>
      <c r="H32" s="403" t="s">
        <v>470</v>
      </c>
      <c r="I32" s="404"/>
      <c r="J32" s="404"/>
      <c r="K32" s="405"/>
      <c r="L32" s="315">
        <f>SUM(L30:L31)</f>
        <v>12782.387500000003</v>
      </c>
      <c r="M32" s="316">
        <f ca="1">SUM(M30:M31)</f>
        <v>47208552.634375006</v>
      </c>
    </row>
    <row r="33" spans="1:25" x14ac:dyDescent="0.25">
      <c r="B33" s="135"/>
      <c r="C33" s="135"/>
      <c r="D33" s="135"/>
      <c r="E33" s="135"/>
      <c r="F33" s="135"/>
      <c r="I33" s="135"/>
      <c r="J33" s="135"/>
      <c r="K33" s="135"/>
      <c r="L33" s="135"/>
      <c r="M33" s="135"/>
    </row>
    <row r="34" spans="1:25" ht="18.75" x14ac:dyDescent="0.3">
      <c r="A34" s="397" t="s">
        <v>416</v>
      </c>
      <c r="B34" s="397"/>
      <c r="C34" s="397"/>
      <c r="D34" s="397"/>
      <c r="E34" s="397"/>
      <c r="F34" s="397"/>
      <c r="G34" s="349"/>
      <c r="H34" s="397" t="s">
        <v>416</v>
      </c>
      <c r="I34" s="397"/>
      <c r="J34" s="397"/>
      <c r="K34" s="397"/>
      <c r="L34" s="397"/>
      <c r="M34" s="397"/>
    </row>
    <row r="35" spans="1:25" ht="18.75" x14ac:dyDescent="0.3">
      <c r="A35" s="397" t="s">
        <v>467</v>
      </c>
      <c r="B35" s="397"/>
      <c r="C35" s="143">
        <f>SUBTOTAL(109,Tabla18610[CANT ISTA])</f>
        <v>78</v>
      </c>
      <c r="D35" s="153">
        <f>SUBTOTAL(109,Tabla18610[PARA CAMB])</f>
        <v>32</v>
      </c>
      <c r="E35" s="340">
        <f>SUBTOTAL(109,E37:E49)</f>
        <v>6128.3100000000013</v>
      </c>
      <c r="F35" s="341">
        <f ca="1">SUBTOTAL(109,F37:F49)</f>
        <v>22633380.907499999</v>
      </c>
      <c r="G35" s="349"/>
      <c r="H35" s="397" t="s">
        <v>467</v>
      </c>
      <c r="I35" s="397"/>
      <c r="J35" s="143">
        <f>SUM(Tabla186913[CANT ISTA])</f>
        <v>36</v>
      </c>
      <c r="K35" s="153">
        <f>SUM(Tabla186913[PARA CAMB])</f>
        <v>16</v>
      </c>
      <c r="L35" s="315">
        <f>SUBTOTAL(109,L37:L51)</f>
        <v>4097.6000000000004</v>
      </c>
      <c r="M35" s="316">
        <f ca="1">SUBTOTAL(109,M37:M51)</f>
        <v>15133461.200000001</v>
      </c>
    </row>
    <row r="36" spans="1:25" ht="25.5" x14ac:dyDescent="0.25">
      <c r="A36" s="345" t="s">
        <v>3</v>
      </c>
      <c r="B36" s="366" t="s">
        <v>13</v>
      </c>
      <c r="C36" s="367" t="s">
        <v>465</v>
      </c>
      <c r="D36" s="367" t="s">
        <v>466</v>
      </c>
      <c r="E36" s="366" t="s">
        <v>410</v>
      </c>
      <c r="F36" s="345" t="s">
        <v>409</v>
      </c>
      <c r="H36" s="345" t="s">
        <v>3</v>
      </c>
      <c r="I36" s="366" t="s">
        <v>15</v>
      </c>
      <c r="J36" s="367" t="s">
        <v>465</v>
      </c>
      <c r="K36" s="367" t="s">
        <v>466</v>
      </c>
      <c r="L36" s="366" t="s">
        <v>410</v>
      </c>
      <c r="M36" s="345" t="s">
        <v>409</v>
      </c>
    </row>
    <row r="37" spans="1:25" x14ac:dyDescent="0.25">
      <c r="A37" s="303">
        <v>1</v>
      </c>
      <c r="B37" s="24" t="s">
        <v>458</v>
      </c>
      <c r="C37" s="143">
        <f>SUMIF(PLANTAS[1º ETAPA],Tabla18610[[#This Row],[1º ETAPA]],PLANTAS[CANT])</f>
        <v>8</v>
      </c>
      <c r="D37" s="143">
        <f>SUMIF(PLANTAS[1º ETAPA],Tabla18610[[#This Row],[1º ETAPA]],PLANTAS[V 1°])</f>
        <v>4</v>
      </c>
      <c r="E37" s="313">
        <f>IF(D37=0,"0",(IFERROR(LOOKUP(B37,Costos!$B$5:$B$100,Costos!$C$5:$C$100),0)))*Tabla18610[[#This Row],[PARA CAMB]]</f>
        <v>788</v>
      </c>
      <c r="F37" s="314">
        <f ca="1">Tabla18610[[#This Row],[DÓLAR]]*$F$5</f>
        <v>2910281</v>
      </c>
      <c r="H37" s="303">
        <v>1</v>
      </c>
      <c r="I37" s="81" t="s">
        <v>255</v>
      </c>
      <c r="J37" s="143">
        <f>SUMIF(PLANTAS[2º ETAPA],Tabla186913[[#This Row],[2º ETAPA]],PLANTAS[[CANT ]])</f>
        <v>1</v>
      </c>
      <c r="K37" s="143">
        <f>SUMIF(PLANTAS[2º ETAPA],Tabla186913[[#This Row],[2º ETAPA]],PLANTAS[V 2°])</f>
        <v>1</v>
      </c>
      <c r="L37" s="313">
        <f>IF(K37=0,"0",(IFERROR(LOOKUP(I37,Costos!$B$5:$B$100,Costos!$C$5:$C$100),0)))*Tabla186913[[#This Row],[PARA CAMB]]</f>
        <v>256.10000000000002</v>
      </c>
      <c r="M37" s="314">
        <f ca="1">Tabla186913[[#This Row],[DÓLAR]]*$F$5</f>
        <v>945841.32500000007</v>
      </c>
    </row>
    <row r="38" spans="1:25" x14ac:dyDescent="0.25">
      <c r="A38" s="303">
        <f>A37+1</f>
        <v>2</v>
      </c>
      <c r="B38" s="24" t="s">
        <v>469</v>
      </c>
      <c r="C38" s="143">
        <f>SUMIF(PLANTAS[1º ETAPA],Tabla18610[[#This Row],[1º ETAPA]],PLANTAS[CANT])</f>
        <v>1</v>
      </c>
      <c r="D38" s="143">
        <f>SUMIF(PLANTAS[1º ETAPA],Tabla18610[[#This Row],[1º ETAPA]],PLANTAS[V 1°])</f>
        <v>1</v>
      </c>
      <c r="E38" s="313">
        <f>IF(D38=0,"0",(IFERROR(LOOKUP(B38,Costos!$B$5:$B$100,Costos!$C$5:$C$100),0)))*Tabla18610[[#This Row],[PARA CAMB]]</f>
        <v>256.55</v>
      </c>
      <c r="F38" s="314">
        <f ca="1">Tabla18610[[#This Row],[DÓLAR]]*$F$5</f>
        <v>947503.28750000009</v>
      </c>
      <c r="H38" s="303">
        <f>H37+1</f>
        <v>2</v>
      </c>
      <c r="I38" s="24" t="s">
        <v>247</v>
      </c>
      <c r="J38" s="143">
        <f>SUMIF(PLANTAS[2º ETAPA],Tabla186913[[#This Row],[2º ETAPA]],PLANTAS[[CANT ]])</f>
        <v>2</v>
      </c>
      <c r="K38" s="143">
        <f>SUMIF(PLANTAS[2º ETAPA],Tabla186913[[#This Row],[2º ETAPA]],PLANTAS[V 2°])</f>
        <v>2</v>
      </c>
      <c r="L38" s="313">
        <f>IF(K38=0,"0",(IFERROR(LOOKUP(I38,Costos!$B$5:$B$100,Costos!$C$5:$C$100),0)))*Tabla186913[[#This Row],[PARA CAMB]]</f>
        <v>512.20000000000005</v>
      </c>
      <c r="M38" s="314">
        <f ca="1">Tabla186913[[#This Row],[DÓLAR]]*$F$5</f>
        <v>1891682.6500000001</v>
      </c>
    </row>
    <row r="39" spans="1:25" x14ac:dyDescent="0.25">
      <c r="A39" s="303">
        <f t="shared" ref="A39:A49" si="2">A38+1</f>
        <v>3</v>
      </c>
      <c r="B39" s="24" t="s">
        <v>43</v>
      </c>
      <c r="C39" s="143">
        <f>SUMIF(PLANTAS[1º ETAPA],Tabla18610[[#This Row],[1º ETAPA]],PLANTAS[CANT])</f>
        <v>6</v>
      </c>
      <c r="D39" s="143">
        <f>SUMIF(PLANTAS[1º ETAPA],Tabla18610[[#This Row],[1º ETAPA]],PLANTAS[V 1°])</f>
        <v>0</v>
      </c>
      <c r="E39" s="313">
        <f>IF(D39=0,"0",(IFERROR(LOOKUP(B39,Costos!$B$5:$B$100,Costos!$C$5:$C$100),0)))*Tabla18610[[#This Row],[PARA CAMB]]</f>
        <v>0</v>
      </c>
      <c r="F39" s="314">
        <f ca="1">Tabla18610[[#This Row],[DÓLAR]]*$F$5</f>
        <v>0</v>
      </c>
      <c r="H39" s="303">
        <f t="shared" ref="H39:H51" si="3">H38+1</f>
        <v>3</v>
      </c>
      <c r="I39" s="24" t="s">
        <v>425</v>
      </c>
      <c r="J39" s="143">
        <f>SUMIF(PLANTAS[2º ETAPA],Tabla186913[[#This Row],[2º ETAPA]],PLANTAS[[CANT ]])</f>
        <v>1</v>
      </c>
      <c r="K39" s="143">
        <f>SUMIF(PLANTAS[2º ETAPA],Tabla186913[[#This Row],[2º ETAPA]],PLANTAS[V 2°])</f>
        <v>0</v>
      </c>
      <c r="L39" s="313">
        <f>IF(K39=0,"0",(IFERROR(LOOKUP(I39,Costos!$B$5:$B$100,Costos!$C$5:$C$100),0)))*Tabla186913[[#This Row],[PARA CAMB]]</f>
        <v>0</v>
      </c>
      <c r="M39" s="314">
        <f ca="1">Tabla186913[[#This Row],[DÓLAR]]*$F$5</f>
        <v>0</v>
      </c>
    </row>
    <row r="40" spans="1:25" x14ac:dyDescent="0.25">
      <c r="A40" s="303">
        <f t="shared" si="2"/>
        <v>4</v>
      </c>
      <c r="B40" s="24" t="s">
        <v>46</v>
      </c>
      <c r="C40" s="143">
        <f>SUMIF(PLANTAS[1º ETAPA],Tabla18610[[#This Row],[1º ETAPA]],PLANTAS[CANT])</f>
        <v>1</v>
      </c>
      <c r="D40" s="143">
        <f>SUMIF(PLANTAS[1º ETAPA],Tabla18610[[#This Row],[1º ETAPA]],PLANTAS[V 1°])</f>
        <v>1</v>
      </c>
      <c r="E40" s="313">
        <f>IF(D40=0,"0",(IFERROR(LOOKUP(B40,Costos!$B$5:$B$100,Costos!$C$5:$C$100),0)))*Tabla18610[[#This Row],[PARA CAMB]]</f>
        <v>100.92</v>
      </c>
      <c r="F40" s="314">
        <f ca="1">Tabla18610[[#This Row],[DÓLAR]]*$F$5</f>
        <v>372722.79</v>
      </c>
      <c r="H40" s="303">
        <f t="shared" si="3"/>
        <v>4</v>
      </c>
      <c r="I40" s="24" t="s">
        <v>424</v>
      </c>
      <c r="J40" s="143">
        <f>SUMIF(PLANTAS[2º ETAPA],Tabla186913[[#This Row],[2º ETAPA]],PLANTAS[[CANT ]])</f>
        <v>1</v>
      </c>
      <c r="K40" s="143">
        <f>SUMIF(PLANTAS[2º ETAPA],Tabla186913[[#This Row],[2º ETAPA]],PLANTAS[V 2°])</f>
        <v>0</v>
      </c>
      <c r="L40" s="313">
        <f>IF(K40=0,"0",(IFERROR(LOOKUP(I40,Costos!$B$5:$B$100,Costos!$C$5:$C$100),0)))*Tabla186913[[#This Row],[PARA CAMB]]</f>
        <v>0</v>
      </c>
      <c r="M40" s="314">
        <f ca="1">Tabla186913[[#This Row],[DÓLAR]]*$F$5</f>
        <v>0</v>
      </c>
      <c r="Y40" s="149"/>
    </row>
    <row r="41" spans="1:25" x14ac:dyDescent="0.25">
      <c r="A41" s="303">
        <f t="shared" si="2"/>
        <v>5</v>
      </c>
      <c r="B41" s="24" t="s">
        <v>51</v>
      </c>
      <c r="C41" s="143">
        <f>SUMIF(PLANTAS[1º ETAPA],Tabla18610[[#This Row],[1º ETAPA]],PLANTAS[CANT])</f>
        <v>37</v>
      </c>
      <c r="D41" s="143">
        <f>SUMIF(PLANTAS[1º ETAPA],Tabla18610[[#This Row],[1º ETAPA]],PLANTAS[V 1°])</f>
        <v>14</v>
      </c>
      <c r="E41" s="313">
        <f>IF(D41=0,"0",(IFERROR(LOOKUP(B41,Costos!$B$5:$B$100,Costos!$C$5:$C$100),0)))*Tabla18610[[#This Row],[PARA CAMB]]</f>
        <v>2836.26</v>
      </c>
      <c r="F41" s="314">
        <f ca="1">Tabla18610[[#This Row],[DÓLAR]]*$F$5</f>
        <v>10475017.245000001</v>
      </c>
      <c r="H41" s="303">
        <f t="shared" si="3"/>
        <v>5</v>
      </c>
      <c r="I41" s="24" t="s">
        <v>253</v>
      </c>
      <c r="J41" s="143">
        <f>SUMIF(PLANTAS[2º ETAPA],Tabla186913[[#This Row],[2º ETAPA]],PLANTAS[[CANT ]])</f>
        <v>3</v>
      </c>
      <c r="K41" s="143">
        <f>SUMIF(PLANTAS[2º ETAPA],Tabla186913[[#This Row],[2º ETAPA]],PLANTAS[V 2°])</f>
        <v>2</v>
      </c>
      <c r="L41" s="313">
        <f>IF(K41=0,"0",(IFERROR(LOOKUP(I41,Costos!$B$5:$B$100,Costos!$C$5:$C$100),0)))*Tabla186913[[#This Row],[PARA CAMB]]</f>
        <v>512.20000000000005</v>
      </c>
      <c r="M41" s="314">
        <f ca="1">Tabla186913[[#This Row],[DÓLAR]]*$F$5</f>
        <v>1891682.6500000001</v>
      </c>
    </row>
    <row r="42" spans="1:25" x14ac:dyDescent="0.25">
      <c r="A42" s="303">
        <f t="shared" si="2"/>
        <v>6</v>
      </c>
      <c r="B42" s="86" t="s">
        <v>294</v>
      </c>
      <c r="C42" s="143">
        <f>SUMIF(PLANTAS[1º ETAPA],Tabla18610[[#This Row],[1º ETAPA]],PLANTAS[CANT])</f>
        <v>1</v>
      </c>
      <c r="D42" s="143">
        <f>SUMIF(PLANTAS[1º ETAPA],Tabla18610[[#This Row],[1º ETAPA]],PLANTAS[V 1°])</f>
        <v>0</v>
      </c>
      <c r="E42" s="313">
        <f>IF(D42=0,"0",(IFERROR(LOOKUP(B42,Costos!$B$5:$B$100,Costos!$C$5:$C$100),0)))*Tabla18610[[#This Row],[PARA CAMB]]</f>
        <v>0</v>
      </c>
      <c r="F42" s="314">
        <f ca="1">Tabla18610[[#This Row],[DÓLAR]]*$F$5</f>
        <v>0</v>
      </c>
      <c r="H42" s="303">
        <f t="shared" si="3"/>
        <v>6</v>
      </c>
      <c r="I42" s="24" t="s">
        <v>264</v>
      </c>
      <c r="J42" s="143">
        <f>SUMIF(PLANTAS[2º ETAPA],Tabla186913[[#This Row],[2º ETAPA]],PLANTAS[[CANT ]])</f>
        <v>1</v>
      </c>
      <c r="K42" s="143">
        <f>SUMIF(PLANTAS[2º ETAPA],Tabla186913[[#This Row],[2º ETAPA]],PLANTAS[V 2°])</f>
        <v>1</v>
      </c>
      <c r="L42" s="313">
        <f>IF(K42=0,"0",(IFERROR(LOOKUP(I42,Costos!$B$5:$B$100,Costos!$C$5:$C$100),0)))*Tabla186913[[#This Row],[PARA CAMB]]</f>
        <v>256.10000000000002</v>
      </c>
      <c r="M42" s="314">
        <f ca="1">Tabla186913[[#This Row],[DÓLAR]]*$F$5</f>
        <v>945841.32500000007</v>
      </c>
    </row>
    <row r="43" spans="1:25" x14ac:dyDescent="0.25">
      <c r="A43" s="303">
        <f t="shared" si="2"/>
        <v>7</v>
      </c>
      <c r="B43" s="86" t="s">
        <v>297</v>
      </c>
      <c r="C43" s="143">
        <f>SUMIF(PLANTAS[1º ETAPA],Tabla18610[[#This Row],[1º ETAPA]],PLANTAS[CANT])</f>
        <v>2</v>
      </c>
      <c r="D43" s="143">
        <f>SUMIF(PLANTAS[1º ETAPA],Tabla18610[[#This Row],[1º ETAPA]],PLANTAS[V 1°])</f>
        <v>0</v>
      </c>
      <c r="E43" s="313">
        <f>IF(D43=0,"0",(IFERROR(LOOKUP(B43,Costos!$B$5:$B$100,Costos!$C$5:$C$100),0)))*Tabla18610[[#This Row],[PARA CAMB]]</f>
        <v>0</v>
      </c>
      <c r="F43" s="314">
        <f ca="1">Tabla18610[[#This Row],[DÓLAR]]*$F$5</f>
        <v>0</v>
      </c>
      <c r="H43" s="303">
        <f t="shared" si="3"/>
        <v>7</v>
      </c>
      <c r="I43" s="24" t="s">
        <v>432</v>
      </c>
      <c r="J43" s="143">
        <f>SUMIF(PLANTAS[2º ETAPA],Tabla186913[[#This Row],[2º ETAPA]],PLANTAS[[CANT ]])</f>
        <v>3</v>
      </c>
      <c r="K43" s="143">
        <f>SUMIF(PLANTAS[2º ETAPA],Tabla186913[[#This Row],[2º ETAPA]],PLANTAS[V 2°])</f>
        <v>0</v>
      </c>
      <c r="L43" s="313">
        <f>IF(K43=0,"0",(IFERROR(LOOKUP(I43,Costos!$B$5:$B$100,Costos!$C$5:$C$100),0)))*Tabla186913[[#This Row],[PARA CAMB]]</f>
        <v>0</v>
      </c>
      <c r="M43" s="314">
        <f ca="1">Tabla186913[[#This Row],[DÓLAR]]*$F$5</f>
        <v>0</v>
      </c>
    </row>
    <row r="44" spans="1:25" x14ac:dyDescent="0.25">
      <c r="A44" s="303">
        <f t="shared" si="2"/>
        <v>8</v>
      </c>
      <c r="B44" s="24" t="s">
        <v>455</v>
      </c>
      <c r="C44" s="143">
        <f>SUMIF(PLANTAS[1º ETAPA],Tabla18610[[#This Row],[1º ETAPA]],PLANTAS[CANT])</f>
        <v>6</v>
      </c>
      <c r="D44" s="143">
        <f>SUMIF(PLANTAS[1º ETAPA],Tabla18610[[#This Row],[1º ETAPA]],PLANTAS[V 1°])</f>
        <v>0</v>
      </c>
      <c r="E44" s="313">
        <f>IF(D44=0,"0",(IFERROR(LOOKUP(B44,Costos!$B$5:$B$100,Costos!$C$5:$C$100),0)))*Tabla18610[[#This Row],[PARA CAMB]]</f>
        <v>0</v>
      </c>
      <c r="F44" s="314">
        <f ca="1">Tabla18610[[#This Row],[DÓLAR]]*$F$5</f>
        <v>0</v>
      </c>
      <c r="H44" s="303">
        <f t="shared" si="3"/>
        <v>8</v>
      </c>
      <c r="I44" s="24" t="s">
        <v>310</v>
      </c>
      <c r="J44" s="143">
        <f>SUMIF(PLANTAS[2º ETAPA],Tabla186913[[#This Row],[2º ETAPA]],PLANTAS[[CANT ]])</f>
        <v>3</v>
      </c>
      <c r="K44" s="143">
        <f>SUMIF(PLANTAS[2º ETAPA],Tabla186913[[#This Row],[2º ETAPA]],PLANTAS[V 2°])</f>
        <v>0</v>
      </c>
      <c r="L44" s="313">
        <f>IF(K44=0,"0",(IFERROR(LOOKUP(I44,Costos!$B$5:$B$100,Costos!$C$5:$C$100),0)))*Tabla186913[[#This Row],[PARA CAMB]]</f>
        <v>0</v>
      </c>
      <c r="M44" s="314">
        <f ca="1">Tabla186913[[#This Row],[DÓLAR]]*$F$5</f>
        <v>0</v>
      </c>
    </row>
    <row r="45" spans="1:25" x14ac:dyDescent="0.25">
      <c r="A45" s="303">
        <f t="shared" si="2"/>
        <v>9</v>
      </c>
      <c r="B45" s="24" t="s">
        <v>456</v>
      </c>
      <c r="C45" s="143">
        <f>SUMIF(PLANTAS[1º ETAPA],Tabla18610[[#This Row],[1º ETAPA]],PLANTAS[CANT])</f>
        <v>2</v>
      </c>
      <c r="D45" s="143">
        <f>SUMIF(PLANTAS[1º ETAPA],Tabla18610[[#This Row],[1º ETAPA]],PLANTAS[V 1°])</f>
        <v>2</v>
      </c>
      <c r="E45" s="313">
        <f>IF(D45=0,"0",(IFERROR(LOOKUP(B45,Costos!$B$5:$B$100,Costos!$C$5:$C$100),0)))*Tabla18610[[#This Row],[PARA CAMB]]</f>
        <v>300.45999999999998</v>
      </c>
      <c r="F45" s="314">
        <f ca="1">Tabla18610[[#This Row],[DÓLAR]]*$F$5</f>
        <v>1109673.895</v>
      </c>
      <c r="H45" s="303">
        <f t="shared" si="3"/>
        <v>9</v>
      </c>
      <c r="I45" s="81" t="s">
        <v>307</v>
      </c>
      <c r="J45" s="143">
        <f>SUMIF(PLANTAS[2º ETAPA],Tabla186913[[#This Row],[2º ETAPA]],PLANTAS[[CANT ]])</f>
        <v>10</v>
      </c>
      <c r="K45" s="143">
        <f>SUMIF(PLANTAS[2º ETAPA],Tabla186913[[#This Row],[2º ETAPA]],PLANTAS[V 2°])</f>
        <v>3</v>
      </c>
      <c r="L45" s="313">
        <f>IF(K45=0,"0",(IFERROR(LOOKUP(I45,Costos!$B$5:$B$100,Costos!$C$5:$C$100),0)))*Tabla186913[[#This Row],[PARA CAMB]]</f>
        <v>768.30000000000007</v>
      </c>
      <c r="M45" s="314">
        <f ca="1">Tabla186913[[#This Row],[DÓLAR]]*$F$5</f>
        <v>2837523.9750000001</v>
      </c>
    </row>
    <row r="46" spans="1:25" x14ac:dyDescent="0.25">
      <c r="A46" s="303">
        <f t="shared" si="2"/>
        <v>10</v>
      </c>
      <c r="B46" s="24" t="s">
        <v>252</v>
      </c>
      <c r="C46" s="143">
        <f>SUMIF(PLANTAS[1º ETAPA],Tabla18610[[#This Row],[1º ETAPA]],PLANTAS[CANT])</f>
        <v>4</v>
      </c>
      <c r="D46" s="143">
        <f>SUMIF(PLANTAS[1º ETAPA],Tabla18610[[#This Row],[1º ETAPA]],PLANTAS[V 1°])</f>
        <v>4</v>
      </c>
      <c r="E46" s="313">
        <f>IF(D46=0,"0",(IFERROR(LOOKUP(B46,Costos!$B$5:$B$100,Costos!$C$5:$C$100),0)))*Tabla18610[[#This Row],[PARA CAMB]]</f>
        <v>722.6</v>
      </c>
      <c r="F46" s="314">
        <f ca="1">Tabla18610[[#This Row],[DÓLAR]]*$F$5</f>
        <v>2668742.4500000002</v>
      </c>
      <c r="H46" s="303">
        <f t="shared" si="3"/>
        <v>10</v>
      </c>
      <c r="I46" s="24" t="s">
        <v>308</v>
      </c>
      <c r="J46" s="143">
        <f>SUMIF(PLANTAS[2º ETAPA],Tabla186913[[#This Row],[2º ETAPA]],PLANTAS[[CANT ]])</f>
        <v>2</v>
      </c>
      <c r="K46" s="143">
        <f>SUMIF(PLANTAS[2º ETAPA],Tabla186913[[#This Row],[2º ETAPA]],PLANTAS[V 2°])</f>
        <v>2</v>
      </c>
      <c r="L46" s="313">
        <f>IF(K46=0,"0",(IFERROR(LOOKUP(I46,Costos!$B$5:$B$100,Costos!$C$5:$C$100),0)))*Tabla186913[[#This Row],[PARA CAMB]]</f>
        <v>512.20000000000005</v>
      </c>
      <c r="M46" s="314">
        <f ca="1">Tabla186913[[#This Row],[DÓLAR]]*$F$5</f>
        <v>1891682.6500000001</v>
      </c>
    </row>
    <row r="47" spans="1:25" x14ac:dyDescent="0.25">
      <c r="A47" s="303">
        <f t="shared" si="2"/>
        <v>11</v>
      </c>
      <c r="B47" s="75" t="s">
        <v>78</v>
      </c>
      <c r="C47" s="143">
        <f>SUMIF(PLANTAS[1º ETAPA],Tabla18610[[#This Row],[1º ETAPA]],PLANTAS[CANT])</f>
        <v>2</v>
      </c>
      <c r="D47" s="143">
        <f>SUMIF(PLANTAS[1º ETAPA],Tabla18610[[#This Row],[1º ETAPA]],PLANTAS[V 1°])</f>
        <v>0</v>
      </c>
      <c r="E47" s="313">
        <f>IF(D47=0,"0",(IFERROR(LOOKUP(B47,Costos!$B$5:$B$100,Costos!$C$5:$C$100),0)))*Tabla18610[[#This Row],[PARA CAMB]]</f>
        <v>0</v>
      </c>
      <c r="F47" s="314">
        <f ca="1">Tabla18610[[#This Row],[DÓLAR]]*$F$5</f>
        <v>0</v>
      </c>
      <c r="H47" s="303">
        <f t="shared" si="3"/>
        <v>11</v>
      </c>
      <c r="I47" s="24" t="s">
        <v>311</v>
      </c>
      <c r="J47" s="143">
        <f>SUMIF(PLANTAS[2º ETAPA],Tabla186913[[#This Row],[2º ETAPA]],PLANTAS[[CANT ]])</f>
        <v>1</v>
      </c>
      <c r="K47" s="143">
        <f>SUMIF(PLANTAS[2º ETAPA],Tabla186913[[#This Row],[2º ETAPA]],PLANTAS[V 2°])</f>
        <v>0</v>
      </c>
      <c r="L47" s="313">
        <f>IF(K47=0,"0",(IFERROR(LOOKUP(I47,Costos!$B$5:$B$100,Costos!$C$5:$C$100),0)))*Tabla186913[[#This Row],[PARA CAMB]]</f>
        <v>0</v>
      </c>
      <c r="M47" s="314">
        <f ca="1">Tabla186913[[#This Row],[DÓLAR]]*$F$5</f>
        <v>0</v>
      </c>
    </row>
    <row r="48" spans="1:25" x14ac:dyDescent="0.25">
      <c r="A48" s="303">
        <f t="shared" si="2"/>
        <v>12</v>
      </c>
      <c r="B48" s="24" t="s">
        <v>272</v>
      </c>
      <c r="C48" s="143">
        <f>SUMIF(PLANTAS[1º ETAPA],Tabla18610[[#This Row],[1º ETAPA]],PLANTAS[CANT])</f>
        <v>4</v>
      </c>
      <c r="D48" s="143">
        <f>SUMIF(PLANTAS[1º ETAPA],Tabla18610[[#This Row],[1º ETAPA]],PLANTAS[V 1°])</f>
        <v>2</v>
      </c>
      <c r="E48" s="313">
        <f>IF(D48=0,"0",(IFERROR(LOOKUP(B48,Costos!$B$5:$B$100,Costos!$C$5:$C$100),0)))*Tabla18610[[#This Row],[PARA CAMB]]</f>
        <v>319.72000000000003</v>
      </c>
      <c r="F48" s="314">
        <f ca="1">Tabla18610[[#This Row],[DÓLAR]]*$F$5</f>
        <v>1180805.8900000001</v>
      </c>
      <c r="H48" s="303">
        <f t="shared" si="3"/>
        <v>12</v>
      </c>
      <c r="I48" s="24" t="s">
        <v>66</v>
      </c>
      <c r="J48" s="143">
        <f>SUMIF(PLANTAS[2º ETAPA],Tabla186913[[#This Row],[2º ETAPA]],PLANTAS[[CANT ]])</f>
        <v>2</v>
      </c>
      <c r="K48" s="143">
        <f>SUMIF(PLANTAS[2º ETAPA],Tabla186913[[#This Row],[2º ETAPA]],PLANTAS[V 2°])</f>
        <v>2</v>
      </c>
      <c r="L48" s="313">
        <f>IF(K48=0,"0",(IFERROR(LOOKUP(I48,Costos!$B$5:$B$100,Costos!$C$5:$C$100),0)))*Tabla186913[[#This Row],[PARA CAMB]]</f>
        <v>512.20000000000005</v>
      </c>
      <c r="M48" s="368">
        <f ca="1">Tabla186913[[#This Row],[DÓLAR]]*$F$5</f>
        <v>1891682.6500000001</v>
      </c>
    </row>
    <row r="49" spans="1:13" x14ac:dyDescent="0.25">
      <c r="A49" s="303">
        <f t="shared" si="2"/>
        <v>13</v>
      </c>
      <c r="B49" s="24" t="s">
        <v>246</v>
      </c>
      <c r="C49" s="143">
        <f>SUMIF(PLANTAS[1º ETAPA],Tabla18610[[#This Row],[1º ETAPA]],PLANTAS[CANT])</f>
        <v>4</v>
      </c>
      <c r="D49" s="143">
        <f>SUMIF(PLANTAS[1º ETAPA],Tabla18610[[#This Row],[1º ETAPA]],PLANTAS[V 1°])</f>
        <v>4</v>
      </c>
      <c r="E49" s="313">
        <f>IF(D49=0,"0",(IFERROR(LOOKUP(B49,Costos!$B$5:$B$100,Costos!$C$5:$C$100),0)))*Tabla18610[[#This Row],[PARA CAMB]]</f>
        <v>803.8</v>
      </c>
      <c r="F49" s="314">
        <f ca="1">Tabla18610[[#This Row],[DÓLAR]]*$F$5</f>
        <v>2968634.3499999996</v>
      </c>
      <c r="H49" s="303">
        <f t="shared" si="3"/>
        <v>13</v>
      </c>
      <c r="I49" s="24" t="s">
        <v>313</v>
      </c>
      <c r="J49" s="143">
        <f>SUMIF(PLANTAS[2º ETAPA],Tabla186913[[#This Row],[2º ETAPA]],PLANTAS[[CANT ]])</f>
        <v>1</v>
      </c>
      <c r="K49" s="143">
        <f>SUMIF(PLANTAS[2º ETAPA],Tabla186913[[#This Row],[2º ETAPA]],PLANTAS[V 2°])</f>
        <v>1</v>
      </c>
      <c r="L49" s="313">
        <f>IF(K49=0,"0",(IFERROR(LOOKUP(I49,Costos!$B$5:$B$100,Costos!$C$5:$C$100),0)))*Tabla186913[[#This Row],[PARA CAMB]]</f>
        <v>256.10000000000002</v>
      </c>
      <c r="M49" s="368">
        <f ca="1">Tabla186913[[#This Row],[DÓLAR]]*$F$5</f>
        <v>945841.32500000007</v>
      </c>
    </row>
    <row r="50" spans="1:13" x14ac:dyDescent="0.25">
      <c r="A50" s="308"/>
      <c r="B50" s="112"/>
      <c r="C50" s="309"/>
      <c r="D50" s="309"/>
      <c r="E50" s="310"/>
      <c r="F50" s="362"/>
      <c r="G50" s="361"/>
      <c r="H50" s="303">
        <f t="shared" si="3"/>
        <v>14</v>
      </c>
      <c r="I50" s="24" t="s">
        <v>69</v>
      </c>
      <c r="J50" s="143">
        <f>SUMIF(PLANTAS[2º ETAPA],Tabla186913[[#This Row],[2º ETAPA]],PLANTAS[[CANT ]])</f>
        <v>4</v>
      </c>
      <c r="K50" s="143">
        <f>SUMIF(PLANTAS[2º ETAPA],Tabla186913[[#This Row],[2º ETAPA]],PLANTAS[V 2°])</f>
        <v>2</v>
      </c>
      <c r="L50" s="313">
        <f>IF(K50=0,"0",(IFERROR(LOOKUP(I50,Costos!$B$5:$B$100,Costos!$C$5:$C$100),0)))*Tabla186913[[#This Row],[PARA CAMB]]</f>
        <v>512.20000000000005</v>
      </c>
      <c r="M50" s="368">
        <f ca="1">Tabla186913[[#This Row],[DÓLAR]]*$F$5</f>
        <v>1891682.6500000001</v>
      </c>
    </row>
    <row r="51" spans="1:13" x14ac:dyDescent="0.25">
      <c r="A51" s="308"/>
      <c r="B51" s="112"/>
      <c r="C51" s="309"/>
      <c r="D51" s="309"/>
      <c r="E51" s="310"/>
      <c r="F51" s="362"/>
      <c r="G51" s="361"/>
      <c r="H51" s="303">
        <f t="shared" si="3"/>
        <v>15</v>
      </c>
      <c r="I51" s="24" t="s">
        <v>446</v>
      </c>
      <c r="J51" s="143">
        <f>SUMIF(PLANTAS[2º ETAPA],Tabla186913[[#This Row],[2º ETAPA]],PLANTAS[[CANT ]])</f>
        <v>1</v>
      </c>
      <c r="K51" s="143">
        <f>SUMIF(PLANTAS[2º ETAPA],Tabla186913[[#This Row],[2º ETAPA]],PLANTAS[V 2°])</f>
        <v>0</v>
      </c>
      <c r="L51" s="313">
        <f>IF(K51=0,"0",(IFERROR(LOOKUP(I51,Costos!$B$5:$B$100,Costos!$C$5:$C$100),0)))*Tabla186913[[#This Row],[PARA CAMB]]</f>
        <v>0</v>
      </c>
      <c r="M51" s="368">
        <f ca="1">Tabla186913[[#This Row],[DÓLAR]]*$F$5</f>
        <v>0</v>
      </c>
    </row>
    <row r="53" spans="1:13" x14ac:dyDescent="0.25">
      <c r="A53"/>
      <c r="B53"/>
      <c r="C53"/>
      <c r="D53"/>
      <c r="E53"/>
      <c r="F53"/>
      <c r="H53" s="396" t="str">
        <f>H7</f>
        <v>REMPLAZO ELEMENTOS</v>
      </c>
      <c r="I53" s="396"/>
      <c r="J53" s="396"/>
      <c r="K53" s="143">
        <f>D58+K58</f>
        <v>119</v>
      </c>
      <c r="L53" s="313">
        <f>E58+L58</f>
        <v>22404.299999999996</v>
      </c>
      <c r="M53" s="314">
        <f ca="1">F58+M58</f>
        <v>82744680.975000009</v>
      </c>
    </row>
    <row r="54" spans="1:13" x14ac:dyDescent="0.25">
      <c r="A54"/>
      <c r="B54"/>
      <c r="C54"/>
      <c r="D54"/>
      <c r="E54"/>
      <c r="F54"/>
      <c r="H54" s="406" t="str">
        <f>H8</f>
        <v>IMPOR Y NACIONALIZA</v>
      </c>
      <c r="I54" s="407"/>
      <c r="J54" s="408"/>
      <c r="K54" s="374">
        <f>K8</f>
        <v>0.25</v>
      </c>
      <c r="L54" s="313">
        <f>L53*K54</f>
        <v>5601.0749999999989</v>
      </c>
      <c r="M54" s="314">
        <f ca="1">L54*F5</f>
        <v>20686170.243749995</v>
      </c>
    </row>
    <row r="55" spans="1:13" x14ac:dyDescent="0.25">
      <c r="A55"/>
      <c r="B55"/>
      <c r="C55"/>
      <c r="D55"/>
      <c r="E55"/>
      <c r="F55"/>
      <c r="H55" s="403" t="s">
        <v>470</v>
      </c>
      <c r="I55" s="404"/>
      <c r="J55" s="404"/>
      <c r="K55" s="405"/>
      <c r="L55" s="315">
        <f>SUM(L53:L54)</f>
        <v>28005.374999999993</v>
      </c>
      <c r="M55" s="316">
        <f ca="1">SUM(M53:M54)</f>
        <v>103430851.21875</v>
      </c>
    </row>
    <row r="56" spans="1:13" x14ac:dyDescent="0.25">
      <c r="A56"/>
      <c r="B56"/>
      <c r="C56"/>
      <c r="D56"/>
      <c r="E56"/>
      <c r="F56"/>
      <c r="I56" s="135"/>
      <c r="J56" s="135"/>
      <c r="K56" s="135"/>
      <c r="L56" s="135"/>
      <c r="M56" s="135"/>
    </row>
    <row r="57" spans="1:13" ht="18" x14ac:dyDescent="0.25">
      <c r="A57" s="410" t="s">
        <v>471</v>
      </c>
      <c r="B57" s="410"/>
      <c r="C57" s="410"/>
      <c r="D57" s="410"/>
      <c r="E57" s="410"/>
      <c r="F57" s="410"/>
      <c r="H57" s="410" t="s">
        <v>471</v>
      </c>
      <c r="I57" s="410"/>
      <c r="J57" s="410"/>
      <c r="K57" s="410"/>
      <c r="L57" s="410"/>
      <c r="M57" s="410"/>
    </row>
    <row r="58" spans="1:13" ht="18" x14ac:dyDescent="0.25">
      <c r="A58" s="410" t="s">
        <v>467</v>
      </c>
      <c r="B58" s="410"/>
      <c r="C58" s="143">
        <f>SUBTOTAL(109,Tabla1861014[CANT ISTA])</f>
        <v>184</v>
      </c>
      <c r="D58" s="153">
        <f>SUBTOTAL(109,Tabla1861014[PARA CAMB])</f>
        <v>93</v>
      </c>
      <c r="E58" s="347">
        <f>SUBTOTAL(109,E60:E81)</f>
        <v>15745.699999999997</v>
      </c>
      <c r="F58" s="348">
        <f ca="1">SUBTOTAL(109,F60:F81)</f>
        <v>58152806.525000006</v>
      </c>
      <c r="H58" s="410" t="s">
        <v>467</v>
      </c>
      <c r="I58" s="410"/>
      <c r="J58" s="143">
        <f>SUM(Tabla18691315[CANT ISTA])</f>
        <v>58</v>
      </c>
      <c r="K58" s="153">
        <f>SUM(Tabla18691315[PARA CAMB])</f>
        <v>26</v>
      </c>
      <c r="L58" s="317">
        <f>SUBTOTAL(109,L60:L83)</f>
        <v>6658.6</v>
      </c>
      <c r="M58" s="371">
        <f ca="1">SUBTOTAL(109,M60:M83)</f>
        <v>24591874.450000003</v>
      </c>
    </row>
    <row r="59" spans="1:13" ht="25.5" x14ac:dyDescent="0.25">
      <c r="A59" s="346" t="s">
        <v>3</v>
      </c>
      <c r="B59" s="369" t="s">
        <v>13</v>
      </c>
      <c r="C59" s="370" t="s">
        <v>465</v>
      </c>
      <c r="D59" s="370" t="s">
        <v>466</v>
      </c>
      <c r="E59" s="369" t="s">
        <v>410</v>
      </c>
      <c r="F59" s="346" t="s">
        <v>409</v>
      </c>
      <c r="H59" s="346" t="s">
        <v>3</v>
      </c>
      <c r="I59" s="369" t="s">
        <v>15</v>
      </c>
      <c r="J59" s="370" t="s">
        <v>465</v>
      </c>
      <c r="K59" s="370" t="s">
        <v>466</v>
      </c>
      <c r="L59" s="369" t="s">
        <v>410</v>
      </c>
      <c r="M59" s="346" t="s">
        <v>409</v>
      </c>
    </row>
    <row r="60" spans="1:13" x14ac:dyDescent="0.25">
      <c r="A60" s="303">
        <v>1</v>
      </c>
      <c r="B60" s="24" t="s">
        <v>458</v>
      </c>
      <c r="C60" s="143">
        <f>SUMIF($B$14:$B$49,Tabla1861014[[#This Row],[1º ETAPA]],$C$14:$C$49)</f>
        <v>10</v>
      </c>
      <c r="D60" s="143">
        <f>SUMIF($B$14:$B$49,Tabla1861014[[#This Row],[1º ETAPA]],$D$14:$D$49)</f>
        <v>4</v>
      </c>
      <c r="E60" s="313">
        <f>IF(D60=0,"0",(IFERROR(LOOKUP(B60,Costos!$B$5:$B$100,Costos!$C$5:$C$100),0)))*Tabla1861014[[#This Row],[PARA CAMB]]</f>
        <v>788</v>
      </c>
      <c r="F60" s="314">
        <f ca="1">Tabla1861014[[#This Row],[DÓLAR]]*$F$5</f>
        <v>2910281</v>
      </c>
      <c r="H60" s="303">
        <v>1</v>
      </c>
      <c r="I60" s="24" t="s">
        <v>426</v>
      </c>
      <c r="J60" s="143">
        <f>SUMIF($I$14:$I$51,Tabla18691315[[#This Row],[2º ETAPA]],$J$14:$J$51)</f>
        <v>1</v>
      </c>
      <c r="K60" s="143">
        <f>SUMIF($I$14:$I$51,Tabla18691315[[#This Row],[2º ETAPA]],$K$14:$K$51)</f>
        <v>1</v>
      </c>
      <c r="L60" s="313">
        <f>IF(K60=0,"0",(IFERROR(LOOKUP(Tabla18691315[[#This Row],[2º ETAPA]],Costos!$B$5:$B$100,Costos!$C$5:$C$100),0)))*Tabla18691315[[#This Row],[PARA CAMB]]</f>
        <v>256.10000000000002</v>
      </c>
      <c r="M60" s="314">
        <f ca="1">Tabla18691315[[#This Row],[DÓLAR]]*$F$5</f>
        <v>945841.32500000007</v>
      </c>
    </row>
    <row r="61" spans="1:13" x14ac:dyDescent="0.25">
      <c r="A61" s="303">
        <f>A60+1</f>
        <v>2</v>
      </c>
      <c r="B61" s="24" t="s">
        <v>457</v>
      </c>
      <c r="C61" s="143">
        <f>SUMIF($B$14:$B$49,Tabla1861014[[#This Row],[1º ETAPA]],$C$14:$C$49)</f>
        <v>2</v>
      </c>
      <c r="D61" s="143">
        <f>SUMIF($B$14:$B$49,Tabla1861014[[#This Row],[1º ETAPA]],$D$14:$D$49)</f>
        <v>1</v>
      </c>
      <c r="E61" s="313">
        <f>IF(D61=0,"0",(IFERROR(LOOKUP(B61,Costos!$B$5:$B$100,Costos!$C$5:$C$100),0)))*Tabla1861014[[#This Row],[PARA CAMB]]</f>
        <v>314</v>
      </c>
      <c r="F61" s="314">
        <f ca="1">Tabla1861014[[#This Row],[DÓLAR]]*$F$5</f>
        <v>1159680.5</v>
      </c>
      <c r="H61" s="303">
        <f>H60+1</f>
        <v>2</v>
      </c>
      <c r="I61" s="81" t="s">
        <v>37</v>
      </c>
      <c r="J61" s="143">
        <f>SUMIF($I$14:$I$51,Tabla18691315[[#This Row],[2º ETAPA]],$J$14:$J$51)</f>
        <v>1</v>
      </c>
      <c r="K61" s="143">
        <f>SUMIF($I$14:$I$51,Tabla18691315[[#This Row],[2º ETAPA]],$K$14:$K$51)</f>
        <v>0</v>
      </c>
      <c r="L61" s="313">
        <f>IF(K61=0,"0",(IFERROR(LOOKUP(Tabla18691315[[#This Row],[2º ETAPA]],Costos!$B$5:$B$100,Costos!$C$5:$C$100),0)))*Tabla18691315[[#This Row],[PARA CAMB]]</f>
        <v>0</v>
      </c>
      <c r="M61" s="314">
        <f ca="1">Tabla18691315[[#This Row],[DÓLAR]]*$F$5</f>
        <v>0</v>
      </c>
    </row>
    <row r="62" spans="1:13" x14ac:dyDescent="0.25">
      <c r="A62" s="303">
        <f t="shared" ref="A62:A81" si="4">A61+1</f>
        <v>3</v>
      </c>
      <c r="B62" s="24" t="s">
        <v>433</v>
      </c>
      <c r="C62" s="143">
        <f>SUMIF($B$14:$B$49,Tabla1861014[[#This Row],[1º ETAPA]],$C$14:$C$49)</f>
        <v>4</v>
      </c>
      <c r="D62" s="143">
        <f>SUMIF($B$14:$B$49,Tabla1861014[[#This Row],[1º ETAPA]],$D$14:$D$49)</f>
        <v>4</v>
      </c>
      <c r="E62" s="313">
        <f>IF(D62=0,"0",(IFERROR(LOOKUP(B62,Costos!$B$5:$B$100,Costos!$C$5:$C$100),0)))*Tabla1861014[[#This Row],[PARA CAMB]]</f>
        <v>1256</v>
      </c>
      <c r="F62" s="314">
        <f ca="1">Tabla1861014[[#This Row],[DÓLAR]]*$F$5</f>
        <v>4638722</v>
      </c>
      <c r="H62" s="303">
        <f t="shared" ref="H62:H83" si="5">H61+1</f>
        <v>3</v>
      </c>
      <c r="I62" s="24" t="s">
        <v>306</v>
      </c>
      <c r="J62" s="143">
        <f>SUMIF($I$14:$I$51,Tabla18691315[[#This Row],[2º ETAPA]],$J$14:$J$51)</f>
        <v>3</v>
      </c>
      <c r="K62" s="143">
        <f>SUMIF($I$14:$I$51,Tabla18691315[[#This Row],[2º ETAPA]],$K$14:$K$51)</f>
        <v>1</v>
      </c>
      <c r="L62" s="313">
        <f>IF(K62=0,"0",(IFERROR(LOOKUP(Tabla18691315[[#This Row],[2º ETAPA]],Costos!$B$5:$B$100,Costos!$C$5:$C$100),0)))*Tabla18691315[[#This Row],[PARA CAMB]]</f>
        <v>256.10000000000002</v>
      </c>
      <c r="M62" s="314">
        <f ca="1">Tabla18691315[[#This Row],[DÓLAR]]*$F$5</f>
        <v>945841.32500000007</v>
      </c>
    </row>
    <row r="63" spans="1:13" x14ac:dyDescent="0.25">
      <c r="A63" s="303">
        <f t="shared" si="4"/>
        <v>4</v>
      </c>
      <c r="B63" s="24" t="s">
        <v>469</v>
      </c>
      <c r="C63" s="143">
        <f>SUMIF($B$14:$B$49,Tabla1861014[[#This Row],[1º ETAPA]],$C$14:$C$49)</f>
        <v>1</v>
      </c>
      <c r="D63" s="143">
        <f>SUMIF($B$14:$B$49,Tabla1861014[[#This Row],[1º ETAPA]],$D$14:$D$49)</f>
        <v>1</v>
      </c>
      <c r="E63" s="313">
        <f>IF(D63=0,"0",(IFERROR(LOOKUP(B63,Costos!$B$5:$B$100,Costos!$C$5:$C$100),0)))*Tabla1861014[[#This Row],[PARA CAMB]]</f>
        <v>256.55</v>
      </c>
      <c r="F63" s="314">
        <f ca="1">Tabla1861014[[#This Row],[DÓLAR]]*$F$5</f>
        <v>947503.28750000009</v>
      </c>
      <c r="H63" s="303">
        <f t="shared" si="5"/>
        <v>4</v>
      </c>
      <c r="I63" s="24" t="s">
        <v>42</v>
      </c>
      <c r="J63" s="143">
        <f>SUMIF($I$14:$I$51,Tabla18691315[[#This Row],[2º ETAPA]],$J$14:$J$51)</f>
        <v>2</v>
      </c>
      <c r="K63" s="143">
        <f>SUMIF($I$14:$I$51,Tabla18691315[[#This Row],[2º ETAPA]],$K$14:$K$51)</f>
        <v>1</v>
      </c>
      <c r="L63" s="313">
        <f>IF(K63=0,"0",(IFERROR(LOOKUP(Tabla18691315[[#This Row],[2º ETAPA]],Costos!$B$5:$B$100,Costos!$C$5:$C$100),0)))*Tabla18691315[[#This Row],[PARA CAMB]]</f>
        <v>256.10000000000002</v>
      </c>
      <c r="M63" s="314">
        <f ca="1">Tabla18691315[[#This Row],[DÓLAR]]*$F$5</f>
        <v>945841.32500000007</v>
      </c>
    </row>
    <row r="64" spans="1:13" x14ac:dyDescent="0.25">
      <c r="A64" s="303">
        <f t="shared" si="4"/>
        <v>5</v>
      </c>
      <c r="B64" s="24" t="s">
        <v>43</v>
      </c>
      <c r="C64" s="143">
        <f>SUMIF($B$14:$B$49,Tabla1861014[[#This Row],[1º ETAPA]],$C$14:$C$49)</f>
        <v>6</v>
      </c>
      <c r="D64" s="143">
        <f>SUMIF($B$14:$B$49,Tabla1861014[[#This Row],[1º ETAPA]],$D$14:$D$49)</f>
        <v>0</v>
      </c>
      <c r="E64" s="313">
        <f>IF(D64=0,"0",(IFERROR(LOOKUP(B64,Costos!$B$5:$B$100,Costos!$C$5:$C$100),0)))*Tabla1861014[[#This Row],[PARA CAMB]]</f>
        <v>0</v>
      </c>
      <c r="F64" s="314">
        <f ca="1">Tabla1861014[[#This Row],[DÓLAR]]*$F$5</f>
        <v>0</v>
      </c>
      <c r="H64" s="303">
        <f t="shared" si="5"/>
        <v>5</v>
      </c>
      <c r="I64" s="81" t="s">
        <v>255</v>
      </c>
      <c r="J64" s="143">
        <f>SUMIF($I$14:$I$51,Tabla18691315[[#This Row],[2º ETAPA]],$J$14:$J$51)</f>
        <v>1</v>
      </c>
      <c r="K64" s="143">
        <f>SUMIF($I$14:$I$51,Tabla18691315[[#This Row],[2º ETAPA]],$K$14:$K$51)</f>
        <v>1</v>
      </c>
      <c r="L64" s="313">
        <f>IF(K64=0,"0",(IFERROR(LOOKUP(Tabla18691315[[#This Row],[2º ETAPA]],Costos!$B$5:$B$100,Costos!$C$5:$C$100),0)))*Tabla18691315[[#This Row],[PARA CAMB]]</f>
        <v>256.10000000000002</v>
      </c>
      <c r="M64" s="314">
        <f ca="1">Tabla18691315[[#This Row],[DÓLAR]]*$F$5</f>
        <v>945841.32500000007</v>
      </c>
    </row>
    <row r="65" spans="1:23" x14ac:dyDescent="0.25">
      <c r="A65" s="303">
        <f t="shared" si="4"/>
        <v>6</v>
      </c>
      <c r="B65" s="24" t="s">
        <v>46</v>
      </c>
      <c r="C65" s="143">
        <f>SUMIF($B$14:$B$49,Tabla1861014[[#This Row],[1º ETAPA]],$C$14:$C$49)</f>
        <v>12</v>
      </c>
      <c r="D65" s="143">
        <f>SUMIF($B$14:$B$49,Tabla1861014[[#This Row],[1º ETAPA]],$D$14:$D$49)</f>
        <v>5</v>
      </c>
      <c r="E65" s="313">
        <f>IF(D65=0,"0",(IFERROR(LOOKUP(B65,Costos!$B$5:$B$100,Costos!$C$5:$C$100),0)))*Tabla1861014[[#This Row],[PARA CAMB]]</f>
        <v>504.6</v>
      </c>
      <c r="F65" s="314">
        <f ca="1">Tabla1861014[[#This Row],[DÓLAR]]*$F$5</f>
        <v>1863613.9500000002</v>
      </c>
      <c r="H65" s="303">
        <f t="shared" si="5"/>
        <v>6</v>
      </c>
      <c r="I65" s="24" t="s">
        <v>247</v>
      </c>
      <c r="J65" s="143">
        <f>SUMIF($I$14:$I$51,Tabla18691315[[#This Row],[2º ETAPA]],$J$14:$J$51)</f>
        <v>2</v>
      </c>
      <c r="K65" s="143">
        <f>SUMIF($I$14:$I$51,Tabla18691315[[#This Row],[2º ETAPA]],$K$14:$K$51)</f>
        <v>2</v>
      </c>
      <c r="L65" s="313">
        <f>IF(K65=0,"0",(IFERROR(LOOKUP(Tabla18691315[[#This Row],[2º ETAPA]],Costos!$B$5:$B$100,Costos!$C$5:$C$100),0)))*Tabla18691315[[#This Row],[PARA CAMB]]</f>
        <v>512.20000000000005</v>
      </c>
      <c r="M65" s="314">
        <f ca="1">Tabla18691315[[#This Row],[DÓLAR]]*$F$5</f>
        <v>1891682.6500000001</v>
      </c>
    </row>
    <row r="66" spans="1:23" x14ac:dyDescent="0.25">
      <c r="A66" s="303">
        <f t="shared" si="4"/>
        <v>7</v>
      </c>
      <c r="B66" s="24" t="s">
        <v>51</v>
      </c>
      <c r="C66" s="143">
        <f>SUMIF($B$14:$B$49,Tabla1861014[[#This Row],[1º ETAPA]],$C$14:$C$49)</f>
        <v>39</v>
      </c>
      <c r="D66" s="143">
        <f>SUMIF($B$14:$B$49,Tabla1861014[[#This Row],[1º ETAPA]],$D$14:$D$49)</f>
        <v>16</v>
      </c>
      <c r="E66" s="313">
        <f>IF(D66=0,"0",(IFERROR(LOOKUP(B66,Costos!$B$5:$B$100,Costos!$C$5:$C$100),0)))*Tabla1861014[[#This Row],[PARA CAMB]]</f>
        <v>3241.44</v>
      </c>
      <c r="F66" s="314">
        <f ca="1">Tabla1861014[[#This Row],[DÓLAR]]*$F$5</f>
        <v>11971448.279999999</v>
      </c>
      <c r="H66" s="303">
        <f t="shared" si="5"/>
        <v>7</v>
      </c>
      <c r="I66" s="24" t="s">
        <v>425</v>
      </c>
      <c r="J66" s="143">
        <f>SUMIF($I$14:$I$51,Tabla18691315[[#This Row],[2º ETAPA]],$J$14:$J$51)</f>
        <v>1</v>
      </c>
      <c r="K66" s="143">
        <f>SUMIF($I$14:$I$51,Tabla18691315[[#This Row],[2º ETAPA]],$K$14:$K$51)</f>
        <v>0</v>
      </c>
      <c r="L66" s="313">
        <f>IF(K66=0,"0",(IFERROR(LOOKUP(Tabla18691315[[#This Row],[2º ETAPA]],Costos!$B$5:$B$100,Costos!$C$5:$C$100),0)))*Tabla18691315[[#This Row],[PARA CAMB]]</f>
        <v>0</v>
      </c>
      <c r="M66" s="314">
        <f ca="1">Tabla18691315[[#This Row],[DÓLAR]]*$F$5</f>
        <v>0</v>
      </c>
      <c r="W66" s="24"/>
    </row>
    <row r="67" spans="1:23" x14ac:dyDescent="0.25">
      <c r="A67" s="303">
        <f t="shared" si="4"/>
        <v>8</v>
      </c>
      <c r="B67" s="24" t="s">
        <v>452</v>
      </c>
      <c r="C67" s="143">
        <f>SUMIF($B$14:$B$49,Tabla1861014[[#This Row],[1º ETAPA]],$C$14:$C$49)</f>
        <v>6</v>
      </c>
      <c r="D67" s="143">
        <f>SUMIF($B$14:$B$49,Tabla1861014[[#This Row],[1º ETAPA]],$D$14:$D$49)</f>
        <v>6</v>
      </c>
      <c r="E67" s="313">
        <f>IF(D67=0,"0",(IFERROR(LOOKUP(B67,Costos!$B$5:$B$100,Costos!$C$5:$C$100),0)))*Tabla1861014[[#This Row],[PARA CAMB]]</f>
        <v>1215.54</v>
      </c>
      <c r="F67" s="314">
        <f ca="1">Tabla1861014[[#This Row],[DÓLAR]]*$F$5</f>
        <v>4489293.1049999995</v>
      </c>
      <c r="H67" s="303">
        <f t="shared" si="5"/>
        <v>8</v>
      </c>
      <c r="I67" s="24" t="s">
        <v>440</v>
      </c>
      <c r="J67" s="143">
        <f>SUMIF($I$14:$I$51,Tabla18691315[[#This Row],[2º ETAPA]],$J$14:$J$51)</f>
        <v>1</v>
      </c>
      <c r="K67" s="143">
        <f>SUMIF($I$14:$I$51,Tabla18691315[[#This Row],[2º ETAPA]],$K$14:$K$51)</f>
        <v>0</v>
      </c>
      <c r="L67" s="313">
        <f>IF(K67=0,"0",(IFERROR(LOOKUP(Tabla18691315[[#This Row],[2º ETAPA]],Costos!$B$5:$B$100,Costos!$C$5:$C$100),0)))*Tabla18691315[[#This Row],[PARA CAMB]]</f>
        <v>0</v>
      </c>
      <c r="M67" s="314">
        <f ca="1">Tabla18691315[[#This Row],[DÓLAR]]*$F$5</f>
        <v>0</v>
      </c>
      <c r="W67" s="24"/>
    </row>
    <row r="68" spans="1:23" x14ac:dyDescent="0.25">
      <c r="A68" s="303">
        <f t="shared" si="4"/>
        <v>9</v>
      </c>
      <c r="B68" s="24" t="s">
        <v>34</v>
      </c>
      <c r="C68" s="143">
        <f>SUMIF($B$14:$B$49,Tabla1861014[[#This Row],[1º ETAPA]],$C$14:$C$49)</f>
        <v>21</v>
      </c>
      <c r="D68" s="143">
        <f>SUMIF($B$14:$B$49,Tabla1861014[[#This Row],[1º ETAPA]],$D$14:$D$49)</f>
        <v>12</v>
      </c>
      <c r="E68" s="313">
        <f>IF(D68=0,"0",(IFERROR(LOOKUP(B68,Costos!$B$5:$B$100,Costos!$C$5:$C$100),0)))*Tabla1861014[[#This Row],[PARA CAMB]]</f>
        <v>3113.3999999999996</v>
      </c>
      <c r="F68" s="314">
        <f ca="1">Tabla1861014[[#This Row],[DÓLAR]]*$F$5</f>
        <v>11498564.549999999</v>
      </c>
      <c r="H68" s="303">
        <f t="shared" si="5"/>
        <v>9</v>
      </c>
      <c r="I68" s="75" t="s">
        <v>48</v>
      </c>
      <c r="J68" s="143">
        <f>SUMIF($I$14:$I$51,Tabla18691315[[#This Row],[2º ETAPA]],$J$14:$J$51)</f>
        <v>1</v>
      </c>
      <c r="K68" s="143">
        <f>SUMIF($I$14:$I$51,Tabla18691315[[#This Row],[2º ETAPA]],$K$14:$K$51)</f>
        <v>0</v>
      </c>
      <c r="L68" s="313">
        <f>IF(K68=0,"0",(IFERROR(LOOKUP(Tabla18691315[[#This Row],[2º ETAPA]],Costos!$B$5:$B$100,Costos!$C$5:$C$100),0)))*Tabla18691315[[#This Row],[PARA CAMB]]</f>
        <v>0</v>
      </c>
      <c r="M68" s="314">
        <f ca="1">Tabla18691315[[#This Row],[DÓLAR]]*$F$5</f>
        <v>0</v>
      </c>
    </row>
    <row r="69" spans="1:23" x14ac:dyDescent="0.25">
      <c r="A69" s="303">
        <f t="shared" si="4"/>
        <v>10</v>
      </c>
      <c r="B69" s="24" t="s">
        <v>60</v>
      </c>
      <c r="C69" s="143">
        <f>SUMIF($B$14:$B$49,Tabla1861014[[#This Row],[1º ETAPA]],$C$14:$C$49)</f>
        <v>10</v>
      </c>
      <c r="D69" s="143">
        <f>SUMIF($B$14:$B$49,Tabla1861014[[#This Row],[1º ETAPA]],$D$14:$D$49)</f>
        <v>0</v>
      </c>
      <c r="E69" s="313">
        <f>IF(D69=0,"0",(IFERROR(LOOKUP(B69,Costos!$B$5:$B$100,Costos!$C$5:$C$100),0)))*Tabla1861014[[#This Row],[PARA CAMB]]</f>
        <v>0</v>
      </c>
      <c r="F69" s="314">
        <f ca="1">Tabla1861014[[#This Row],[DÓLAR]]*$F$5</f>
        <v>0</v>
      </c>
      <c r="H69" s="303">
        <f t="shared" si="5"/>
        <v>10</v>
      </c>
      <c r="I69" s="24" t="s">
        <v>424</v>
      </c>
      <c r="J69" s="143">
        <f>SUMIF($I$14:$I$51,Tabla18691315[[#This Row],[2º ETAPA]],$J$14:$J$51)</f>
        <v>1</v>
      </c>
      <c r="K69" s="143">
        <f>SUMIF($I$14:$I$51,Tabla18691315[[#This Row],[2º ETAPA]],$K$14:$K$51)</f>
        <v>0</v>
      </c>
      <c r="L69" s="313">
        <f>IF(K69=0,"0",(IFERROR(LOOKUP(Tabla18691315[[#This Row],[2º ETAPA]],Costos!$B$5:$B$100,Costos!$C$5:$C$100),0)))*Tabla18691315[[#This Row],[PARA CAMB]]</f>
        <v>0</v>
      </c>
      <c r="M69" s="314">
        <f ca="1">Tabla18691315[[#This Row],[DÓLAR]]*$F$5</f>
        <v>0</v>
      </c>
    </row>
    <row r="70" spans="1:23" x14ac:dyDescent="0.25">
      <c r="A70" s="303">
        <f t="shared" si="4"/>
        <v>11</v>
      </c>
      <c r="B70" s="24" t="s">
        <v>65</v>
      </c>
      <c r="C70" s="143">
        <f>SUMIF($B$14:$B$49,Tabla1861014[[#This Row],[1º ETAPA]],$C$14:$C$49)</f>
        <v>2</v>
      </c>
      <c r="D70" s="143">
        <f>SUMIF($B$14:$B$49,Tabla1861014[[#This Row],[1º ETAPA]],$D$14:$D$49)</f>
        <v>2</v>
      </c>
      <c r="E70" s="313">
        <f>IF(D70=0,"0",(IFERROR(LOOKUP(B70,Costos!$B$5:$B$100,Costos!$C$5:$C$100),0)))*Tabla1861014[[#This Row],[PARA CAMB]]</f>
        <v>311.5</v>
      </c>
      <c r="F70" s="314">
        <f ca="1">Tabla1861014[[#This Row],[DÓLAR]]*$F$5</f>
        <v>1150447.375</v>
      </c>
      <c r="H70" s="303">
        <f t="shared" si="5"/>
        <v>11</v>
      </c>
      <c r="I70" s="24" t="s">
        <v>253</v>
      </c>
      <c r="J70" s="143">
        <f>SUMIF($I$14:$I$51,Tabla18691315[[#This Row],[2º ETAPA]],$J$14:$J$51)</f>
        <v>3</v>
      </c>
      <c r="K70" s="143">
        <f>SUMIF($I$14:$I$51,Tabla18691315[[#This Row],[2º ETAPA]],$K$14:$K$51)</f>
        <v>2</v>
      </c>
      <c r="L70" s="313">
        <f>IF(K70=0,"0",(IFERROR(LOOKUP(Tabla18691315[[#This Row],[2º ETAPA]],Costos!$B$5:$B$100,Costos!$C$5:$C$100),0)))*Tabla18691315[[#This Row],[PARA CAMB]]</f>
        <v>512.20000000000005</v>
      </c>
      <c r="M70" s="314">
        <f ca="1">Tabla18691315[[#This Row],[DÓLAR]]*$F$5</f>
        <v>1891682.6500000001</v>
      </c>
    </row>
    <row r="71" spans="1:23" x14ac:dyDescent="0.25">
      <c r="A71" s="303">
        <f t="shared" si="4"/>
        <v>12</v>
      </c>
      <c r="B71" s="24" t="s">
        <v>57</v>
      </c>
      <c r="C71" s="143">
        <f>SUMIF($B$14:$B$49,Tabla1861014[[#This Row],[1º ETAPA]],$C$14:$C$49)</f>
        <v>27</v>
      </c>
      <c r="D71" s="143">
        <f>SUMIF($B$14:$B$49,Tabla1861014[[#This Row],[1º ETAPA]],$D$14:$D$49)</f>
        <v>27</v>
      </c>
      <c r="E71" s="313">
        <f>IF(D71=0,"0",(IFERROR(LOOKUP(B71,Costos!$B$5:$B$100,Costos!$C$5:$C$100),0)))*Tabla1861014[[#This Row],[PARA CAMB]]</f>
        <v>1829.79</v>
      </c>
      <c r="F71" s="314">
        <f ca="1">Tabla1861014[[#This Row],[DÓLAR]]*$F$5</f>
        <v>6757871.9174999995</v>
      </c>
      <c r="H71" s="303">
        <f t="shared" si="5"/>
        <v>12</v>
      </c>
      <c r="I71" s="24" t="s">
        <v>264</v>
      </c>
      <c r="J71" s="143">
        <f>SUMIF($I$14:$I$51,Tabla18691315[[#This Row],[2º ETAPA]],$J$14:$J$51)</f>
        <v>1</v>
      </c>
      <c r="K71" s="143">
        <f>SUMIF($I$14:$I$51,Tabla18691315[[#This Row],[2º ETAPA]],$K$14:$K$51)</f>
        <v>1</v>
      </c>
      <c r="L71" s="313">
        <f>IF(K71=0,"0",(IFERROR(LOOKUP(Tabla18691315[[#This Row],[2º ETAPA]],Costos!$B$5:$B$100,Costos!$C$5:$C$100),0)))*Tabla18691315[[#This Row],[PARA CAMB]]</f>
        <v>256.10000000000002</v>
      </c>
      <c r="M71" s="368">
        <f ca="1">Tabla18691315[[#This Row],[DÓLAR]]*$F$5</f>
        <v>945841.32500000007</v>
      </c>
    </row>
    <row r="72" spans="1:23" x14ac:dyDescent="0.25">
      <c r="A72" s="303">
        <f t="shared" si="4"/>
        <v>13</v>
      </c>
      <c r="B72" s="24" t="s">
        <v>294</v>
      </c>
      <c r="C72" s="143">
        <f>SUMIF($B$14:$B$49,Tabla1861014[[#This Row],[1º ETAPA]],$C$14:$C$49)</f>
        <v>1</v>
      </c>
      <c r="D72" s="143">
        <f>SUMIF($B$14:$B$49,Tabla1861014[[#This Row],[1º ETAPA]],$D$14:$D$49)</f>
        <v>0</v>
      </c>
      <c r="E72" s="313">
        <f>IF(D72=0,"0",(IFERROR(LOOKUP(B72,Costos!$B$5:$B$100,Costos!$C$5:$C$100),0)))*Tabla1861014[[#This Row],[PARA CAMB]]</f>
        <v>0</v>
      </c>
      <c r="F72" s="314">
        <f ca="1">Tabla1861014[[#This Row],[DÓLAR]]*$F$5</f>
        <v>0</v>
      </c>
      <c r="H72" s="303">
        <f t="shared" si="5"/>
        <v>13</v>
      </c>
      <c r="I72" s="24" t="s">
        <v>52</v>
      </c>
      <c r="J72" s="143">
        <f>SUMIF($I$14:$I$51,Tabla18691315[[#This Row],[2º ETAPA]],$J$14:$J$51)</f>
        <v>1</v>
      </c>
      <c r="K72" s="143">
        <f>SUMIF($I$14:$I$51,Tabla18691315[[#This Row],[2º ETAPA]],$K$14:$K$51)</f>
        <v>0</v>
      </c>
      <c r="L72" s="313">
        <f>IF(K72=0,"0",(IFERROR(LOOKUP(Tabla18691315[[#This Row],[2º ETAPA]],Costos!$B$5:$B$100,Costos!$C$5:$C$100),0)))*Tabla18691315[[#This Row],[PARA CAMB]]</f>
        <v>0</v>
      </c>
      <c r="M72" s="368">
        <f ca="1">Tabla18691315[[#This Row],[DÓLAR]]*$F$5</f>
        <v>0</v>
      </c>
    </row>
    <row r="73" spans="1:23" x14ac:dyDescent="0.25">
      <c r="A73" s="303">
        <f t="shared" si="4"/>
        <v>14</v>
      </c>
      <c r="B73" s="24" t="s">
        <v>297</v>
      </c>
      <c r="C73" s="143">
        <f>SUMIF($B$14:$B$49,Tabla1861014[[#This Row],[1º ETAPA]],$C$14:$C$49)</f>
        <v>3</v>
      </c>
      <c r="D73" s="143">
        <f>SUMIF($B$14:$B$49,Tabla1861014[[#This Row],[1º ETAPA]],$D$14:$D$49)</f>
        <v>0</v>
      </c>
      <c r="E73" s="313">
        <f>IF(D73=0,"0",(IFERROR(LOOKUP(B73,Costos!$B$5:$B$100,Costos!$C$5:$C$100),0)))*Tabla1861014[[#This Row],[PARA CAMB]]</f>
        <v>0</v>
      </c>
      <c r="F73" s="368">
        <f ca="1">Tabla1861014[[#This Row],[DÓLAR]]*$F$5</f>
        <v>0</v>
      </c>
      <c r="H73" s="303">
        <f t="shared" si="5"/>
        <v>14</v>
      </c>
      <c r="I73" s="81" t="s">
        <v>35</v>
      </c>
      <c r="J73" s="143">
        <f>SUMIF($I$14:$I$51,Tabla18691315[[#This Row],[2º ETAPA]],$J$14:$J$51)</f>
        <v>8</v>
      </c>
      <c r="K73" s="143">
        <f>SUMIF($I$14:$I$51,Tabla18691315[[#This Row],[2º ETAPA]],$K$14:$K$51)</f>
        <v>5</v>
      </c>
      <c r="L73" s="313">
        <f>IF(K73=0,"0",(IFERROR(LOOKUP(Tabla18691315[[#This Row],[2º ETAPA]],Costos!$B$5:$B$100,Costos!$C$5:$C$100),0)))*Tabla18691315[[#This Row],[PARA CAMB]]</f>
        <v>1280.5</v>
      </c>
      <c r="M73" s="368">
        <f ca="1">Tabla18691315[[#This Row],[DÓLAR]]*$F$5</f>
        <v>4729206.625</v>
      </c>
    </row>
    <row r="74" spans="1:23" x14ac:dyDescent="0.25">
      <c r="A74" s="303">
        <f t="shared" si="4"/>
        <v>15</v>
      </c>
      <c r="B74" s="24" t="s">
        <v>455</v>
      </c>
      <c r="C74" s="143">
        <f>SUMIF($B$14:$B$49,Tabla1861014[[#This Row],[1º ETAPA]],$C$14:$C$49)</f>
        <v>6</v>
      </c>
      <c r="D74" s="143">
        <f>SUMIF($B$14:$B$49,Tabla1861014[[#This Row],[1º ETAPA]],$D$14:$D$49)</f>
        <v>0</v>
      </c>
      <c r="E74" s="313">
        <f>IF(D74=0,"0",(IFERROR(LOOKUP(B74,Costos!$B$5:$B$100,Costos!$C$5:$C$100),0)))*Tabla1861014[[#This Row],[PARA CAMB]]</f>
        <v>0</v>
      </c>
      <c r="F74" s="368">
        <f ca="1">Tabla1861014[[#This Row],[DÓLAR]]*$F$5</f>
        <v>0</v>
      </c>
      <c r="H74" s="303">
        <f t="shared" si="5"/>
        <v>15</v>
      </c>
      <c r="I74" s="24" t="s">
        <v>432</v>
      </c>
      <c r="J74" s="143">
        <f>SUMIF($I$14:$I$51,Tabla18691315[[#This Row],[2º ETAPA]],$J$14:$J$51)</f>
        <v>3</v>
      </c>
      <c r="K74" s="143">
        <f>SUMIF($I$14:$I$51,Tabla18691315[[#This Row],[2º ETAPA]],$K$14:$K$51)</f>
        <v>0</v>
      </c>
      <c r="L74" s="313">
        <f>IF(K74=0,"0",(IFERROR(LOOKUP(Tabla18691315[[#This Row],[2º ETAPA]],Costos!$B$5:$B$100,Costos!$C$5:$C$100),0)))*Tabla18691315[[#This Row],[PARA CAMB]]</f>
        <v>0</v>
      </c>
      <c r="M74" s="368">
        <f ca="1">Tabla18691315[[#This Row],[DÓLAR]]*$F$5</f>
        <v>0</v>
      </c>
    </row>
    <row r="75" spans="1:23" x14ac:dyDescent="0.25">
      <c r="A75" s="303">
        <f t="shared" si="4"/>
        <v>16</v>
      </c>
      <c r="B75" s="24" t="s">
        <v>456</v>
      </c>
      <c r="C75" s="143">
        <f>SUMIF($B$14:$B$49,Tabla1861014[[#This Row],[1º ETAPA]],$C$14:$C$49)</f>
        <v>2</v>
      </c>
      <c r="D75" s="143">
        <f>SUMIF($B$14:$B$49,Tabla1861014[[#This Row],[1º ETAPA]],$D$14:$D$49)</f>
        <v>2</v>
      </c>
      <c r="E75" s="313">
        <f>IF(D75=0,"0",(IFERROR(LOOKUP(B75,Costos!$B$5:$B$100,Costos!$C$5:$C$100),0)))*Tabla1861014[[#This Row],[PARA CAMB]]</f>
        <v>300.45999999999998</v>
      </c>
      <c r="F75" s="368">
        <f ca="1">Tabla1861014[[#This Row],[DÓLAR]]*$F$5</f>
        <v>1109673.895</v>
      </c>
      <c r="H75" s="303">
        <f t="shared" si="5"/>
        <v>16</v>
      </c>
      <c r="I75" s="24" t="s">
        <v>310</v>
      </c>
      <c r="J75" s="143">
        <f>SUMIF($I$14:$I$51,Tabla18691315[[#This Row],[2º ETAPA]],$J$14:$J$51)</f>
        <v>3</v>
      </c>
      <c r="K75" s="143">
        <f>SUMIF($I$14:$I$51,Tabla18691315[[#This Row],[2º ETAPA]],$K$14:$K$51)</f>
        <v>0</v>
      </c>
      <c r="L75" s="313">
        <f>IF(K75=0,"0",(IFERROR(LOOKUP(Tabla18691315[[#This Row],[2º ETAPA]],Costos!$B$5:$B$100,Costos!$C$5:$C$100),0)))*Tabla18691315[[#This Row],[PARA CAMB]]</f>
        <v>0</v>
      </c>
      <c r="M75" s="368">
        <f ca="1">Tabla18691315[[#This Row],[DÓLAR]]*$F$5</f>
        <v>0</v>
      </c>
    </row>
    <row r="76" spans="1:23" x14ac:dyDescent="0.25">
      <c r="A76" s="303">
        <f t="shared" si="4"/>
        <v>17</v>
      </c>
      <c r="B76" s="24" t="s">
        <v>252</v>
      </c>
      <c r="C76" s="143">
        <f>SUMIF($B$14:$B$49,Tabla1861014[[#This Row],[1º ETAPA]],$C$14:$C$49)</f>
        <v>4</v>
      </c>
      <c r="D76" s="143">
        <f>SUMIF($B$14:$B$49,Tabla1861014[[#This Row],[1º ETAPA]],$D$14:$D$49)</f>
        <v>4</v>
      </c>
      <c r="E76" s="313">
        <f>IF(D76=0,"0",(IFERROR(LOOKUP(B76,Costos!$B$5:$B$100,Costos!$C$5:$C$100),0)))*Tabla1861014[[#This Row],[PARA CAMB]]</f>
        <v>722.6</v>
      </c>
      <c r="F76" s="368">
        <f ca="1">Tabla1861014[[#This Row],[DÓLAR]]*$F$5</f>
        <v>2668742.4500000002</v>
      </c>
      <c r="H76" s="303">
        <f t="shared" si="5"/>
        <v>17</v>
      </c>
      <c r="I76" s="81" t="s">
        <v>307</v>
      </c>
      <c r="J76" s="143">
        <f>SUMIF($I$14:$I$51,Tabla18691315[[#This Row],[2º ETAPA]],$J$14:$J$51)</f>
        <v>10</v>
      </c>
      <c r="K76" s="143">
        <f>SUMIF($I$14:$I$51,Tabla18691315[[#This Row],[2º ETAPA]],$K$14:$K$51)</f>
        <v>3</v>
      </c>
      <c r="L76" s="313">
        <f>IF(K76=0,"0",(IFERROR(LOOKUP(Tabla18691315[[#This Row],[2º ETAPA]],Costos!$B$5:$B$100,Costos!$C$5:$C$100),0)))*Tabla18691315[[#This Row],[PARA CAMB]]</f>
        <v>768.30000000000007</v>
      </c>
      <c r="M76" s="368">
        <f ca="1">Tabla18691315[[#This Row],[DÓLAR]]*$F$5</f>
        <v>2837523.9750000001</v>
      </c>
    </row>
    <row r="77" spans="1:23" x14ac:dyDescent="0.25">
      <c r="A77" s="303">
        <f t="shared" si="4"/>
        <v>18</v>
      </c>
      <c r="B77" s="24" t="s">
        <v>78</v>
      </c>
      <c r="C77" s="143">
        <f>SUMIF($B$14:$B$49,Tabla1861014[[#This Row],[1º ETAPA]],$C$14:$C$49)</f>
        <v>6</v>
      </c>
      <c r="D77" s="143">
        <f>SUMIF($B$14:$B$49,Tabla1861014[[#This Row],[1º ETAPA]],$D$14:$D$49)</f>
        <v>0</v>
      </c>
      <c r="E77" s="313">
        <f>IF(D77=0,"0",(IFERROR(LOOKUP(B77,Costos!$B$5:$B$100,Costos!$C$5:$C$100),0)))*Tabla1861014[[#This Row],[PARA CAMB]]</f>
        <v>0</v>
      </c>
      <c r="F77" s="368">
        <f ca="1">Tabla1861014[[#This Row],[DÓLAR]]*$F$5</f>
        <v>0</v>
      </c>
      <c r="H77" s="303">
        <f t="shared" si="5"/>
        <v>18</v>
      </c>
      <c r="I77" s="24" t="s">
        <v>308</v>
      </c>
      <c r="J77" s="143">
        <f>SUMIF($I$14:$I$51,Tabla18691315[[#This Row],[2º ETAPA]],$J$14:$J$51)</f>
        <v>2</v>
      </c>
      <c r="K77" s="143">
        <f>SUMIF($I$14:$I$51,Tabla18691315[[#This Row],[2º ETAPA]],$K$14:$K$51)</f>
        <v>2</v>
      </c>
      <c r="L77" s="313">
        <f>IF(K77=0,"0",(IFERROR(LOOKUP(Tabla18691315[[#This Row],[2º ETAPA]],Costos!$B$5:$B$100,Costos!$C$5:$C$100),0)))*Tabla18691315[[#This Row],[PARA CAMB]]</f>
        <v>512.20000000000005</v>
      </c>
      <c r="M77" s="368">
        <f ca="1">Tabla18691315[[#This Row],[DÓLAR]]*$F$5</f>
        <v>1891682.6500000001</v>
      </c>
    </row>
    <row r="78" spans="1:23" x14ac:dyDescent="0.25">
      <c r="A78" s="303">
        <f t="shared" si="4"/>
        <v>19</v>
      </c>
      <c r="B78" s="24" t="s">
        <v>272</v>
      </c>
      <c r="C78" s="143">
        <f>SUMIF($B$14:$B$49,Tabla1861014[[#This Row],[1º ETAPA]],$C$14:$C$49)</f>
        <v>4</v>
      </c>
      <c r="D78" s="143">
        <f>SUMIF($B$14:$B$49,Tabla1861014[[#This Row],[1º ETAPA]],$D$14:$D$49)</f>
        <v>2</v>
      </c>
      <c r="E78" s="313">
        <f>IF(D78=0,"0",(IFERROR(LOOKUP(B78,Costos!$B$5:$B$100,Costos!$C$5:$C$100),0)))*Tabla1861014[[#This Row],[PARA CAMB]]</f>
        <v>319.72000000000003</v>
      </c>
      <c r="F78" s="368">
        <f ca="1">Tabla1861014[[#This Row],[DÓLAR]]*$F$5</f>
        <v>1180805.8900000001</v>
      </c>
      <c r="H78" s="303">
        <f t="shared" si="5"/>
        <v>19</v>
      </c>
      <c r="I78" s="24" t="s">
        <v>311</v>
      </c>
      <c r="J78" s="143">
        <f>SUMIF($I$14:$I$51,Tabla18691315[[#This Row],[2º ETAPA]],$J$14:$J$51)</f>
        <v>1</v>
      </c>
      <c r="K78" s="143">
        <f>SUMIF($I$14:$I$51,Tabla18691315[[#This Row],[2º ETAPA]],$K$14:$K$51)</f>
        <v>0</v>
      </c>
      <c r="L78" s="313">
        <f>IF(K78=0,"0",(IFERROR(LOOKUP(Tabla18691315[[#This Row],[2º ETAPA]],Costos!$B$5:$B$100,Costos!$C$5:$C$100),0)))*Tabla18691315[[#This Row],[PARA CAMB]]</f>
        <v>0</v>
      </c>
      <c r="M78" s="368">
        <f ca="1">Tabla18691315[[#This Row],[DÓLAR]]*$F$5</f>
        <v>0</v>
      </c>
    </row>
    <row r="79" spans="1:23" x14ac:dyDescent="0.25">
      <c r="A79" s="303">
        <f t="shared" si="4"/>
        <v>20</v>
      </c>
      <c r="B79" s="24" t="s">
        <v>246</v>
      </c>
      <c r="C79" s="143">
        <f>SUMIF($B$14:$B$49,Tabla1861014[[#This Row],[1º ETAPA]],$C$14:$C$49)</f>
        <v>7</v>
      </c>
      <c r="D79" s="143">
        <f>SUMIF($B$14:$B$49,Tabla1861014[[#This Row],[1º ETAPA]],$D$14:$D$49)</f>
        <v>4</v>
      </c>
      <c r="E79" s="313">
        <f>IF(D79=0,"0",(IFERROR(LOOKUP(B79,Costos!$B$5:$B$100,Costos!$C$5:$C$100),0)))*Tabla1861014[[#This Row],[PARA CAMB]]</f>
        <v>803.8</v>
      </c>
      <c r="F79" s="368">
        <f ca="1">Tabla1861014[[#This Row],[DÓLAR]]*$F$5</f>
        <v>2968634.3499999996</v>
      </c>
      <c r="H79" s="303">
        <f t="shared" si="5"/>
        <v>20</v>
      </c>
      <c r="I79" s="75" t="s">
        <v>66</v>
      </c>
      <c r="J79" s="143">
        <f>SUMIF($I$14:$I$51,Tabla18691315[[#This Row],[2º ETAPA]],$J$14:$J$51)</f>
        <v>4</v>
      </c>
      <c r="K79" s="143">
        <f>SUMIF($I$14:$I$51,Tabla18691315[[#This Row],[2º ETAPA]],$K$14:$K$51)</f>
        <v>3</v>
      </c>
      <c r="L79" s="313">
        <f>IF(K79=0,"0",(IFERROR(LOOKUP(Tabla18691315[[#This Row],[2º ETAPA]],Costos!$B$5:$B$100,Costos!$C$5:$C$100),0)))*Tabla18691315[[#This Row],[PARA CAMB]]</f>
        <v>768.30000000000007</v>
      </c>
      <c r="M79" s="368">
        <f ca="1">Tabla18691315[[#This Row],[DÓLAR]]*$F$5</f>
        <v>2837523.9750000001</v>
      </c>
    </row>
    <row r="80" spans="1:23" x14ac:dyDescent="0.25">
      <c r="A80" s="303">
        <f t="shared" si="4"/>
        <v>21</v>
      </c>
      <c r="B80" s="24" t="s">
        <v>431</v>
      </c>
      <c r="C80" s="143">
        <f>SUMIF($B$14:$B$49,Tabla1861014[[#This Row],[1º ETAPA]],$C$14:$C$49)</f>
        <v>3</v>
      </c>
      <c r="D80" s="143">
        <f>SUMIF($B$14:$B$49,Tabla1861014[[#This Row],[1º ETAPA]],$D$14:$D$49)</f>
        <v>0</v>
      </c>
      <c r="E80" s="313">
        <f>IF(D80=0,"0",(IFERROR(LOOKUP(B80,Costos!$B$5:$B$100,Costos!$C$5:$C$100),0)))*Tabla1861014[[#This Row],[PARA CAMB]]</f>
        <v>0</v>
      </c>
      <c r="F80" s="368">
        <f ca="1">Tabla1861014[[#This Row],[DÓLAR]]*$F$5</f>
        <v>0</v>
      </c>
      <c r="H80" s="303">
        <f t="shared" si="5"/>
        <v>21</v>
      </c>
      <c r="I80" s="24" t="s">
        <v>72</v>
      </c>
      <c r="J80" s="143">
        <f>SUMIF($I$14:$I$51,Tabla18691315[[#This Row],[2º ETAPA]],$J$14:$J$51)</f>
        <v>1</v>
      </c>
      <c r="K80" s="143">
        <f>SUMIF($I$14:$I$51,Tabla18691315[[#This Row],[2º ETAPA]],$K$14:$K$51)</f>
        <v>0</v>
      </c>
      <c r="L80" s="313">
        <f>IF(K80=0,"0",(IFERROR(LOOKUP(Tabla18691315[[#This Row],[2º ETAPA]],Costos!$B$5:$B$100,Costos!$C$5:$C$100),0)))*Tabla18691315[[#This Row],[PARA CAMB]]</f>
        <v>0</v>
      </c>
      <c r="M80" s="368">
        <f ca="1">Tabla18691315[[#This Row],[DÓLAR]]*$F$5</f>
        <v>0</v>
      </c>
    </row>
    <row r="81" spans="1:13" x14ac:dyDescent="0.25">
      <c r="A81" s="303">
        <f t="shared" si="4"/>
        <v>22</v>
      </c>
      <c r="B81" s="24" t="s">
        <v>41</v>
      </c>
      <c r="C81" s="143">
        <f>SUMIF($B$14:$B$49,Tabla1861014[[#This Row],[1º ETAPA]],$C$14:$C$49)</f>
        <v>8</v>
      </c>
      <c r="D81" s="143">
        <f>SUMIF($B$14:$B$49,Tabla1861014[[#This Row],[1º ETAPA]],$D$14:$D$49)</f>
        <v>3</v>
      </c>
      <c r="E81" s="313">
        <f>IF(D81=0,"0",(IFERROR(LOOKUP(B81,Costos!$B$5:$B$100,Costos!$C$5:$C$100),0)))*Tabla1861014[[#This Row],[PARA CAMB]]</f>
        <v>768.30000000000007</v>
      </c>
      <c r="F81" s="368">
        <f ca="1">Tabla1861014[[#This Row],[DÓLAR]]*$F$5</f>
        <v>2837523.9750000001</v>
      </c>
      <c r="H81" s="303">
        <f t="shared" si="5"/>
        <v>22</v>
      </c>
      <c r="I81" s="24" t="s">
        <v>313</v>
      </c>
      <c r="J81" s="143">
        <f>SUMIF($I$14:$I$51,Tabla18691315[[#This Row],[2º ETAPA]],$J$14:$J$51)</f>
        <v>1</v>
      </c>
      <c r="K81" s="143">
        <f>SUMIF($I$14:$I$51,Tabla18691315[[#This Row],[2º ETAPA]],$K$14:$K$51)</f>
        <v>1</v>
      </c>
      <c r="L81" s="313">
        <f>IF(K81=0,"0",(IFERROR(LOOKUP(Tabla18691315[[#This Row],[2º ETAPA]],Costos!$B$5:$B$100,Costos!$C$5:$C$100),0)))*Tabla18691315[[#This Row],[PARA CAMB]]</f>
        <v>256.10000000000002</v>
      </c>
      <c r="M81" s="368">
        <f ca="1">Tabla18691315[[#This Row],[DÓLAR]]*$F$5</f>
        <v>945841.32500000007</v>
      </c>
    </row>
    <row r="82" spans="1:13" x14ac:dyDescent="0.25">
      <c r="A82"/>
      <c r="B82"/>
      <c r="C82"/>
      <c r="D82"/>
      <c r="E82"/>
      <c r="F82"/>
      <c r="G82" s="361"/>
      <c r="H82" s="303">
        <f t="shared" si="5"/>
        <v>23</v>
      </c>
      <c r="I82" s="24" t="s">
        <v>69</v>
      </c>
      <c r="J82" s="143">
        <f>SUMIF($I$14:$I$51,Tabla18691315[[#This Row],[2º ETAPA]],$J$14:$J$51)</f>
        <v>5</v>
      </c>
      <c r="K82" s="143">
        <f>SUMIF($I$14:$I$51,Tabla18691315[[#This Row],[2º ETAPA]],$K$14:$K$51)</f>
        <v>3</v>
      </c>
      <c r="L82" s="313">
        <f>IF(K82=0,"0",(IFERROR(LOOKUP(Tabla18691315[[#This Row],[2º ETAPA]],Costos!$B$5:$B$100,Costos!$C$5:$C$100),0)))*Tabla18691315[[#This Row],[PARA CAMB]]</f>
        <v>768.30000000000007</v>
      </c>
      <c r="M82" s="368">
        <f ca="1">Tabla18691315[[#This Row],[DÓLAR]]*$F$5</f>
        <v>2837523.9750000001</v>
      </c>
    </row>
    <row r="83" spans="1:13" x14ac:dyDescent="0.25">
      <c r="A83"/>
      <c r="B83"/>
      <c r="C83"/>
      <c r="D83"/>
      <c r="E83"/>
      <c r="F83"/>
      <c r="G83" s="361"/>
      <c r="H83" s="303">
        <f t="shared" si="5"/>
        <v>24</v>
      </c>
      <c r="I83" s="24" t="s">
        <v>446</v>
      </c>
      <c r="J83" s="143">
        <f>SUMIF($I$14:$I$51,Tabla18691315[[#This Row],[2º ETAPA]],$J$14:$J$51)</f>
        <v>1</v>
      </c>
      <c r="K83" s="143">
        <f>SUMIF($I$14:$I$51,Tabla18691315[[#This Row],[2º ETAPA]],$K$14:$K$51)</f>
        <v>0</v>
      </c>
      <c r="L83" s="313">
        <f>IF(K83=0,"0",(IFERROR(LOOKUP(Tabla18691315[[#This Row],[2º ETAPA]],Costos!$B$5:$B$100,Costos!$C$5:$C$100),0)))*Tabla18691315[[#This Row],[PARA CAMB]]</f>
        <v>0</v>
      </c>
      <c r="M83" s="368">
        <f ca="1">Tabla18691315[[#This Row],[DÓLAR]]*$F$5</f>
        <v>0</v>
      </c>
    </row>
  </sheetData>
  <sortState xmlns:xlrd2="http://schemas.microsoft.com/office/spreadsheetml/2017/richdata2" ref="W41:W67">
    <sortCondition ref="W40:W67"/>
  </sortState>
  <mergeCells count="25">
    <mergeCell ref="A58:B58"/>
    <mergeCell ref="H57:M57"/>
    <mergeCell ref="H58:I58"/>
    <mergeCell ref="H31:J31"/>
    <mergeCell ref="C5:D5"/>
    <mergeCell ref="A34:F34"/>
    <mergeCell ref="H55:K55"/>
    <mergeCell ref="H54:J54"/>
    <mergeCell ref="A57:F57"/>
    <mergeCell ref="A1:M1"/>
    <mergeCell ref="A3:M3"/>
    <mergeCell ref="H53:J53"/>
    <mergeCell ref="A35:B35"/>
    <mergeCell ref="A5:B5"/>
    <mergeCell ref="A11:F11"/>
    <mergeCell ref="H11:M11"/>
    <mergeCell ref="H34:M34"/>
    <mergeCell ref="H35:I35"/>
    <mergeCell ref="H7:J7"/>
    <mergeCell ref="H30:J30"/>
    <mergeCell ref="H9:K9"/>
    <mergeCell ref="H8:J8"/>
    <mergeCell ref="H32:K32"/>
    <mergeCell ref="A12:B12"/>
    <mergeCell ref="H12:I12"/>
  </mergeCells>
  <phoneticPr fontId="3" type="noConversion"/>
  <conditionalFormatting sqref="E14:F28">
    <cfRule type="containsText" dxfId="47" priority="43" operator="containsText" text="PROXIMO">
      <formula>NOT(ISERROR(SEARCH("PROXIMO",E14)))</formula>
    </cfRule>
    <cfRule type="containsText" dxfId="46" priority="39" operator="containsText" text="PROX A VENCER">
      <formula>NOT(ISERROR(SEARCH("PROX A VENCER",E14)))</formula>
    </cfRule>
    <cfRule type="containsText" dxfId="45" priority="38" operator="containsText" text="VENCIDO">
      <formula>NOT(ISERROR(SEARCH("VENCIDO",E14)))</formula>
    </cfRule>
    <cfRule type="containsText" dxfId="44" priority="42" operator="containsText" text="PROX A VENCER">
      <formula>NOT(ISERROR(SEARCH("PROX A VENCER",E14)))</formula>
    </cfRule>
    <cfRule type="containsText" dxfId="43" priority="41" operator="containsText" text="PROX A VENCER">
      <formula>NOT(ISERROR(SEARCH("PROX A VENCER",E14)))</formula>
    </cfRule>
    <cfRule type="containsText" dxfId="42" priority="40" operator="containsText" text="PROX A VENCER">
      <formula>NOT(ISERROR(SEARCH("PROX A VENCER",E14)))</formula>
    </cfRule>
  </conditionalFormatting>
  <conditionalFormatting sqref="E37:F49">
    <cfRule type="containsText" dxfId="41" priority="19" operator="containsText" text="VENCIDO">
      <formula>NOT(ISERROR(SEARCH("VENCIDO",E37)))</formula>
    </cfRule>
    <cfRule type="containsText" dxfId="40" priority="20" operator="containsText" text="PROX A VENCER">
      <formula>NOT(ISERROR(SEARCH("PROX A VENCER",E37)))</formula>
    </cfRule>
    <cfRule type="containsText" dxfId="39" priority="21" operator="containsText" text="PROX A VENCER">
      <formula>NOT(ISERROR(SEARCH("PROX A VENCER",E37)))</formula>
    </cfRule>
    <cfRule type="containsText" dxfId="38" priority="22" operator="containsText" text="PROX A VENCER">
      <formula>NOT(ISERROR(SEARCH("PROX A VENCER",E37)))</formula>
    </cfRule>
    <cfRule type="containsText" dxfId="37" priority="23" operator="containsText" text="PROX A VENCER">
      <formula>NOT(ISERROR(SEARCH("PROX A VENCER",E37)))</formula>
    </cfRule>
    <cfRule type="containsText" dxfId="36" priority="24" operator="containsText" text="PROXIMO">
      <formula>NOT(ISERROR(SEARCH("PROXIMO",E37)))</formula>
    </cfRule>
  </conditionalFormatting>
  <conditionalFormatting sqref="E60:F81">
    <cfRule type="containsText" dxfId="35" priority="7" operator="containsText" text="VENCIDO">
      <formula>NOT(ISERROR(SEARCH("VENCIDO",E60)))</formula>
    </cfRule>
    <cfRule type="containsText" dxfId="34" priority="8" operator="containsText" text="PROX A VENCER">
      <formula>NOT(ISERROR(SEARCH("PROX A VENCER",E60)))</formula>
    </cfRule>
    <cfRule type="containsText" dxfId="33" priority="9" operator="containsText" text="PROX A VENCER">
      <formula>NOT(ISERROR(SEARCH("PROX A VENCER",E60)))</formula>
    </cfRule>
    <cfRule type="containsText" dxfId="32" priority="10" operator="containsText" text="PROX A VENCER">
      <formula>NOT(ISERROR(SEARCH("PROX A VENCER",E60)))</formula>
    </cfRule>
    <cfRule type="containsText" dxfId="31" priority="11" operator="containsText" text="PROX A VENCER">
      <formula>NOT(ISERROR(SEARCH("PROX A VENCER",E60)))</formula>
    </cfRule>
    <cfRule type="containsText" dxfId="30" priority="12" operator="containsText" text="PROXIMO">
      <formula>NOT(ISERROR(SEARCH("PROXIMO",E60)))</formula>
    </cfRule>
  </conditionalFormatting>
  <conditionalFormatting sqref="L14:M24">
    <cfRule type="containsText" dxfId="29" priority="25" operator="containsText" text="VENCIDO">
      <formula>NOT(ISERROR(SEARCH("VENCIDO",L14)))</formula>
    </cfRule>
    <cfRule type="containsText" dxfId="28" priority="26" operator="containsText" text="PROX A VENCER">
      <formula>NOT(ISERROR(SEARCH("PROX A VENCER",L14)))</formula>
    </cfRule>
    <cfRule type="containsText" dxfId="27" priority="27" operator="containsText" text="PROX A VENCER">
      <formula>NOT(ISERROR(SEARCH("PROX A VENCER",L14)))</formula>
    </cfRule>
    <cfRule type="containsText" dxfId="26" priority="28" operator="containsText" text="PROX A VENCER">
      <formula>NOT(ISERROR(SEARCH("PROX A VENCER",L14)))</formula>
    </cfRule>
    <cfRule type="containsText" dxfId="25" priority="29" operator="containsText" text="PROX A VENCER">
      <formula>NOT(ISERROR(SEARCH("PROX A VENCER",L14)))</formula>
    </cfRule>
    <cfRule type="containsText" dxfId="24" priority="30" operator="containsText" text="PROXIMO">
      <formula>NOT(ISERROR(SEARCH("PROXIMO",L14)))</formula>
    </cfRule>
  </conditionalFormatting>
  <conditionalFormatting sqref="L37:M51">
    <cfRule type="containsText" dxfId="23" priority="13" operator="containsText" text="VENCIDO">
      <formula>NOT(ISERROR(SEARCH("VENCIDO",L37)))</formula>
    </cfRule>
    <cfRule type="containsText" dxfId="22" priority="18" operator="containsText" text="PROXIMO">
      <formula>NOT(ISERROR(SEARCH("PROXIMO",L37)))</formula>
    </cfRule>
    <cfRule type="containsText" dxfId="21" priority="17" operator="containsText" text="PROX A VENCER">
      <formula>NOT(ISERROR(SEARCH("PROX A VENCER",L37)))</formula>
    </cfRule>
    <cfRule type="containsText" dxfId="20" priority="16" operator="containsText" text="PROX A VENCER">
      <formula>NOT(ISERROR(SEARCH("PROX A VENCER",L37)))</formula>
    </cfRule>
    <cfRule type="containsText" dxfId="19" priority="15" operator="containsText" text="PROX A VENCER">
      <formula>NOT(ISERROR(SEARCH("PROX A VENCER",L37)))</formula>
    </cfRule>
    <cfRule type="containsText" dxfId="18" priority="14" operator="containsText" text="PROX A VENCER">
      <formula>NOT(ISERROR(SEARCH("PROX A VENCER",L37)))</formula>
    </cfRule>
  </conditionalFormatting>
  <conditionalFormatting sqref="L60:M83">
    <cfRule type="containsText" dxfId="17" priority="2" operator="containsText" text="PROX A VENCER">
      <formula>NOT(ISERROR(SEARCH("PROX A VENCER",L60)))</formula>
    </cfRule>
    <cfRule type="containsText" dxfId="16" priority="3" operator="containsText" text="PROX A VENCER">
      <formula>NOT(ISERROR(SEARCH("PROX A VENCER",L60)))</formula>
    </cfRule>
    <cfRule type="containsText" dxfId="15" priority="4" operator="containsText" text="PROX A VENCER">
      <formula>NOT(ISERROR(SEARCH("PROX A VENCER",L60)))</formula>
    </cfRule>
    <cfRule type="containsText" dxfId="14" priority="5" operator="containsText" text="PROX A VENCER">
      <formula>NOT(ISERROR(SEARCH("PROX A VENCER",L60)))</formula>
    </cfRule>
    <cfRule type="containsText" dxfId="13" priority="6" operator="containsText" text="PROXIMO">
      <formula>NOT(ISERROR(SEARCH("PROXIMO",L60)))</formula>
    </cfRule>
    <cfRule type="containsText" dxfId="12" priority="1" operator="containsText" text="VENCIDO">
      <formula>NOT(ISERROR(SEARCH("VENCIDO",L60)))</formula>
    </cfRule>
  </conditionalFormatting>
  <pageMargins left="0.25" right="0.25" top="0.75" bottom="0.75" header="0.3" footer="0.3"/>
  <pageSetup scale="79" orientation="portrait" r:id="rId1"/>
  <rowBreaks count="1" manualBreakCount="1">
    <brk id="51" max="12" man="1"/>
  </rowBreaks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F3A1-BD77-412F-824E-23E0DD4582FA}">
  <sheetPr codeName="Hoja2"/>
  <dimension ref="A1:Q48"/>
  <sheetViews>
    <sheetView zoomScale="85" zoomScaleNormal="85" workbookViewId="0">
      <selection activeCell="B5" sqref="B5"/>
    </sheetView>
  </sheetViews>
  <sheetFormatPr baseColWidth="10" defaultColWidth="11.42578125" defaultRowHeight="18" customHeight="1" x14ac:dyDescent="0.25"/>
  <cols>
    <col min="1" max="1" width="5.7109375" style="154" customWidth="1"/>
    <col min="2" max="2" width="13.5703125" style="116" customWidth="1"/>
    <col min="3" max="3" width="12.5703125" style="116" customWidth="1"/>
    <col min="4" max="4" width="12.7109375" style="116" customWidth="1"/>
    <col min="5" max="5" width="9.7109375" style="116" customWidth="1"/>
    <col min="6" max="6" width="14.5703125" style="116" customWidth="1"/>
    <col min="7" max="7" width="14.7109375" style="116" customWidth="1"/>
    <col min="8" max="8" width="4.5703125" style="154" customWidth="1"/>
    <col min="9" max="9" width="5.7109375" style="154" customWidth="1"/>
    <col min="10" max="10" width="13.42578125" style="154" customWidth="1"/>
    <col min="11" max="12" width="12.7109375" style="154" customWidth="1"/>
    <col min="13" max="13" width="9.7109375" style="154" customWidth="1"/>
    <col min="14" max="14" width="14.85546875" style="154" customWidth="1"/>
    <col min="15" max="15" width="14.7109375" style="154" customWidth="1"/>
    <col min="16" max="16" width="11.42578125" style="154"/>
    <col min="17" max="17" width="12.140625" style="154" bestFit="1" customWidth="1"/>
    <col min="18" max="16384" width="11.42578125" style="154"/>
  </cols>
  <sheetData>
    <row r="1" spans="1:17" ht="18" customHeight="1" x14ac:dyDescent="0.25">
      <c r="B1" s="124" t="e" vm="1">
        <v>#VALUE!</v>
      </c>
      <c r="C1" s="125" cm="1">
        <f t="array" aca="1" ref="C1" ca="1">_FV(B1,"Precio")</f>
        <v>3693.25</v>
      </c>
    </row>
    <row r="2" spans="1:17" ht="12" customHeight="1" x14ac:dyDescent="0.25"/>
    <row r="3" spans="1:17" ht="18" customHeight="1" x14ac:dyDescent="0.25">
      <c r="A3" s="412" t="s">
        <v>411</v>
      </c>
      <c r="B3" s="412"/>
      <c r="C3" s="412"/>
      <c r="D3" s="412"/>
      <c r="E3" s="412"/>
      <c r="F3" s="412"/>
      <c r="G3" s="412"/>
      <c r="I3" s="412" t="s">
        <v>412</v>
      </c>
      <c r="J3" s="412"/>
      <c r="K3" s="412"/>
      <c r="L3" s="412"/>
      <c r="M3" s="412"/>
      <c r="N3" s="412"/>
      <c r="O3" s="412"/>
    </row>
    <row r="4" spans="1:17" ht="18" customHeight="1" x14ac:dyDescent="0.25">
      <c r="A4" s="155" t="s">
        <v>317</v>
      </c>
      <c r="B4" s="128" t="s">
        <v>5</v>
      </c>
      <c r="C4" s="126" t="s">
        <v>318</v>
      </c>
      <c r="D4" s="127" t="s">
        <v>319</v>
      </c>
      <c r="E4" s="126" t="s">
        <v>320</v>
      </c>
      <c r="F4" s="126" t="s">
        <v>321</v>
      </c>
      <c r="G4" s="127" t="s">
        <v>322</v>
      </c>
      <c r="I4" s="155" t="s">
        <v>317</v>
      </c>
      <c r="J4" s="128" t="s">
        <v>5</v>
      </c>
      <c r="K4" s="126" t="s">
        <v>318</v>
      </c>
      <c r="L4" s="127" t="s">
        <v>319</v>
      </c>
      <c r="M4" s="126" t="s">
        <v>320</v>
      </c>
      <c r="N4" s="126" t="s">
        <v>321</v>
      </c>
      <c r="O4" s="127" t="s">
        <v>322</v>
      </c>
      <c r="Q4" s="268"/>
    </row>
    <row r="5" spans="1:17" ht="18" customHeight="1" x14ac:dyDescent="0.25">
      <c r="A5" s="156">
        <v>1</v>
      </c>
      <c r="B5" s="157" t="s">
        <v>458</v>
      </c>
      <c r="C5" s="158">
        <v>197</v>
      </c>
      <c r="D5" s="118">
        <f t="shared" ref="D5:D26" ca="1" si="0">C5*$C$1</f>
        <v>727570.25</v>
      </c>
      <c r="E5" s="159">
        <v>10</v>
      </c>
      <c r="F5" s="158">
        <f>Tabla33[[#This Row],[VALOR US$]]*Tabla33[[#This Row],[CANTIDAD]]</f>
        <v>1970</v>
      </c>
      <c r="G5" s="117">
        <f ca="1">Tabla33[[#This Row],[TOTAL US$]]*$C$1</f>
        <v>7275702.5</v>
      </c>
      <c r="I5" s="156">
        <v>1</v>
      </c>
      <c r="J5" s="160" t="s">
        <v>29</v>
      </c>
      <c r="K5" s="161">
        <v>277.58</v>
      </c>
      <c r="L5" s="118">
        <f t="shared" ref="L5:L23" ca="1" si="1">K5*$C$1</f>
        <v>1025172.335</v>
      </c>
      <c r="M5" s="162">
        <v>1</v>
      </c>
      <c r="N5" s="161">
        <f>Tabla333[[#This Row],[VALOR US$]]*Tabla333[[#This Row],[CANTIDAD]]</f>
        <v>277.58</v>
      </c>
      <c r="O5" s="117">
        <f ca="1">Tabla333[[#This Row],[TOTAL US$]]*$C$1</f>
        <v>1025172.335</v>
      </c>
    </row>
    <row r="6" spans="1:17" ht="18" customHeight="1" x14ac:dyDescent="0.25">
      <c r="A6" s="163">
        <v>2</v>
      </c>
      <c r="B6" s="164" t="s">
        <v>457</v>
      </c>
      <c r="C6" s="161">
        <v>314</v>
      </c>
      <c r="D6" s="118">
        <f t="shared" ca="1" si="0"/>
        <v>1159680.5</v>
      </c>
      <c r="E6" s="162">
        <v>6</v>
      </c>
      <c r="F6" s="161">
        <f>Tabla33[[#This Row],[VALOR US$]]*Tabla33[[#This Row],[CANTIDAD]]</f>
        <v>1884</v>
      </c>
      <c r="G6" s="117">
        <f ca="1">Tabla33[[#This Row],[TOTAL US$]]*$C$1</f>
        <v>6958083</v>
      </c>
      <c r="I6" s="163">
        <v>2</v>
      </c>
      <c r="J6" s="165" t="s">
        <v>37</v>
      </c>
      <c r="K6" s="161">
        <v>288.31</v>
      </c>
      <c r="L6" s="118">
        <f t="shared" ca="1" si="1"/>
        <v>1064800.9075</v>
      </c>
      <c r="M6" s="162">
        <v>1</v>
      </c>
      <c r="N6" s="161">
        <f>Tabla333[[#This Row],[VALOR US$]]*Tabla333[[#This Row],[CANTIDAD]]</f>
        <v>288.31</v>
      </c>
      <c r="O6" s="117">
        <f ca="1">Tabla333[[#This Row],[TOTAL US$]]*$C$1</f>
        <v>1064800.9075</v>
      </c>
    </row>
    <row r="7" spans="1:17" ht="18" customHeight="1" x14ac:dyDescent="0.25">
      <c r="A7" s="166">
        <v>3</v>
      </c>
      <c r="B7" s="160" t="s">
        <v>459</v>
      </c>
      <c r="C7" s="161">
        <v>132</v>
      </c>
      <c r="D7" s="118">
        <f t="shared" ca="1" si="0"/>
        <v>487509</v>
      </c>
      <c r="E7" s="162">
        <v>1</v>
      </c>
      <c r="F7" s="161">
        <f>Tabla33[[#This Row],[VALOR US$]]*Tabla33[[#This Row],[CANTIDAD]]</f>
        <v>132</v>
      </c>
      <c r="G7" s="117">
        <f ca="1">Tabla33[[#This Row],[TOTAL US$]]*$C$1</f>
        <v>487509</v>
      </c>
      <c r="I7" s="166">
        <v>3</v>
      </c>
      <c r="J7" s="160" t="s">
        <v>42</v>
      </c>
      <c r="K7" s="161">
        <v>282.2</v>
      </c>
      <c r="L7" s="118">
        <f t="shared" ca="1" si="1"/>
        <v>1042235.1499999999</v>
      </c>
      <c r="M7" s="162">
        <v>4</v>
      </c>
      <c r="N7" s="161">
        <f>Tabla333[[#This Row],[VALOR US$]]*Tabla333[[#This Row],[CANTIDAD]]</f>
        <v>1128.8</v>
      </c>
      <c r="O7" s="117">
        <f ca="1">Tabla333[[#This Row],[TOTAL US$]]*$C$1</f>
        <v>4168940.5999999996</v>
      </c>
    </row>
    <row r="8" spans="1:17" ht="18" customHeight="1" x14ac:dyDescent="0.25">
      <c r="A8" s="163">
        <v>4</v>
      </c>
      <c r="B8" s="167" t="s">
        <v>460</v>
      </c>
      <c r="C8" s="161">
        <v>136.30000000000001</v>
      </c>
      <c r="D8" s="118">
        <f t="shared" ca="1" si="0"/>
        <v>503389.97500000003</v>
      </c>
      <c r="E8" s="162">
        <v>1</v>
      </c>
      <c r="F8" s="161">
        <f>Tabla33[[#This Row],[VALOR US$]]*Tabla33[[#This Row],[CANTIDAD]]</f>
        <v>136.30000000000001</v>
      </c>
      <c r="G8" s="117">
        <f ca="1">Tabla33[[#This Row],[TOTAL US$]]*$C$1</f>
        <v>503389.97500000003</v>
      </c>
      <c r="I8" s="163">
        <v>4</v>
      </c>
      <c r="J8" s="160" t="s">
        <v>249</v>
      </c>
      <c r="K8" s="161">
        <v>282.2</v>
      </c>
      <c r="L8" s="118">
        <f t="shared" ca="1" si="1"/>
        <v>1042235.1499999999</v>
      </c>
      <c r="M8" s="162">
        <v>2</v>
      </c>
      <c r="N8" s="161">
        <f>Tabla333[[#This Row],[VALOR US$]]*Tabla333[[#This Row],[CANTIDAD]]</f>
        <v>564.4</v>
      </c>
      <c r="O8" s="117">
        <f ca="1">Tabla333[[#This Row],[TOTAL US$]]*$C$1</f>
        <v>2084470.2999999998</v>
      </c>
    </row>
    <row r="9" spans="1:17" ht="18" customHeight="1" x14ac:dyDescent="0.25">
      <c r="A9" s="166">
        <v>5</v>
      </c>
      <c r="B9" s="160" t="s">
        <v>461</v>
      </c>
      <c r="C9" s="168">
        <v>256.55</v>
      </c>
      <c r="D9" s="118">
        <f t="shared" ca="1" si="0"/>
        <v>947503.28750000009</v>
      </c>
      <c r="E9" s="162">
        <v>1</v>
      </c>
      <c r="F9" s="161">
        <f>Tabla33[[#This Row],[VALOR US$]]*Tabla33[[#This Row],[CANTIDAD]]</f>
        <v>256.55</v>
      </c>
      <c r="G9" s="117">
        <f ca="1">Tabla33[[#This Row],[TOTAL US$]]*$C$1</f>
        <v>947503.28750000009</v>
      </c>
      <c r="I9" s="166">
        <v>5</v>
      </c>
      <c r="J9" s="165" t="s">
        <v>255</v>
      </c>
      <c r="K9" s="161">
        <v>190.35</v>
      </c>
      <c r="L9" s="118">
        <f t="shared" ca="1" si="1"/>
        <v>703010.13749999995</v>
      </c>
      <c r="M9" s="162">
        <v>1</v>
      </c>
      <c r="N9" s="161">
        <f>Tabla333[[#This Row],[VALOR US$]]*Tabla333[[#This Row],[CANTIDAD]]</f>
        <v>190.35</v>
      </c>
      <c r="O9" s="117">
        <f ca="1">Tabla333[[#This Row],[TOTAL US$]]*$C$1</f>
        <v>703010.13749999995</v>
      </c>
    </row>
    <row r="10" spans="1:17" ht="18" customHeight="1" x14ac:dyDescent="0.25">
      <c r="A10" s="163">
        <v>6</v>
      </c>
      <c r="B10" s="167" t="s">
        <v>462</v>
      </c>
      <c r="C10" s="168">
        <v>151.19999999999999</v>
      </c>
      <c r="D10" s="118">
        <f t="shared" ca="1" si="0"/>
        <v>558419.39999999991</v>
      </c>
      <c r="E10" s="162">
        <v>4</v>
      </c>
      <c r="F10" s="161">
        <f>Tabla33[[#This Row],[VALOR US$]]*Tabla33[[#This Row],[CANTIDAD]]</f>
        <v>604.79999999999995</v>
      </c>
      <c r="G10" s="117">
        <f ca="1">Tabla33[[#This Row],[TOTAL US$]]*$C$1</f>
        <v>2233677.5999999996</v>
      </c>
      <c r="I10" s="163">
        <v>6</v>
      </c>
      <c r="J10" s="165" t="s">
        <v>256</v>
      </c>
      <c r="K10" s="161">
        <v>190.35</v>
      </c>
      <c r="L10" s="118">
        <f t="shared" ca="1" si="1"/>
        <v>703010.13749999995</v>
      </c>
      <c r="M10" s="162">
        <v>9</v>
      </c>
      <c r="N10" s="161">
        <f>Tabla333[[#This Row],[VALOR US$]]*Tabla333[[#This Row],[CANTIDAD]]</f>
        <v>1713.1499999999999</v>
      </c>
      <c r="O10" s="117">
        <f ca="1">Tabla333[[#This Row],[TOTAL US$]]*$C$1</f>
        <v>6327091.2374999998</v>
      </c>
    </row>
    <row r="11" spans="1:17" ht="18" customHeight="1" x14ac:dyDescent="0.25">
      <c r="A11" s="166">
        <v>7</v>
      </c>
      <c r="B11" s="169" t="s">
        <v>36</v>
      </c>
      <c r="C11" s="161">
        <v>306.22000000000003</v>
      </c>
      <c r="D11" s="118">
        <f t="shared" ca="1" si="0"/>
        <v>1130947.0150000001</v>
      </c>
      <c r="E11" s="162">
        <v>3</v>
      </c>
      <c r="F11" s="161">
        <f>Tabla33[[#This Row],[VALOR US$]]*Tabla33[[#This Row],[CANTIDAD]]</f>
        <v>918.66000000000008</v>
      </c>
      <c r="G11" s="117">
        <f ca="1">Tabla33[[#This Row],[TOTAL US$]]*$C$1</f>
        <v>3392841.0450000004</v>
      </c>
      <c r="I11" s="166">
        <v>7</v>
      </c>
      <c r="J11" s="160" t="s">
        <v>247</v>
      </c>
      <c r="K11" s="161">
        <v>183.25</v>
      </c>
      <c r="L11" s="118">
        <f t="shared" ca="1" si="1"/>
        <v>676788.0625</v>
      </c>
      <c r="M11" s="162">
        <v>12</v>
      </c>
      <c r="N11" s="161">
        <f>Tabla333[[#This Row],[VALOR US$]]*Tabla333[[#This Row],[CANTIDAD]]</f>
        <v>2199</v>
      </c>
      <c r="O11" s="117">
        <f ca="1">Tabla333[[#This Row],[TOTAL US$]]*$C$1</f>
        <v>8121456.75</v>
      </c>
    </row>
    <row r="12" spans="1:17" ht="18" customHeight="1" x14ac:dyDescent="0.25">
      <c r="A12" s="163">
        <v>8</v>
      </c>
      <c r="B12" s="160" t="s">
        <v>43</v>
      </c>
      <c r="C12" s="168">
        <v>158.19999999999999</v>
      </c>
      <c r="D12" s="118">
        <f t="shared" ca="1" si="0"/>
        <v>584272.14999999991</v>
      </c>
      <c r="E12" s="162">
        <v>2</v>
      </c>
      <c r="F12" s="161">
        <f>Tabla33[[#This Row],[VALOR US$]]*Tabla33[[#This Row],[CANTIDAD]]</f>
        <v>316.39999999999998</v>
      </c>
      <c r="G12" s="117">
        <f ca="1">Tabla33[[#This Row],[TOTAL US$]]*$C$1</f>
        <v>1168544.2999999998</v>
      </c>
      <c r="I12" s="163">
        <v>8</v>
      </c>
      <c r="J12" s="160" t="s">
        <v>263</v>
      </c>
      <c r="K12" s="161">
        <v>137.69999999999999</v>
      </c>
      <c r="L12" s="118">
        <f t="shared" ca="1" si="1"/>
        <v>508560.52499999997</v>
      </c>
      <c r="M12" s="162">
        <v>2</v>
      </c>
      <c r="N12" s="161">
        <f>Tabla333[[#This Row],[VALOR US$]]*Tabla333[[#This Row],[CANTIDAD]]</f>
        <v>275.39999999999998</v>
      </c>
      <c r="O12" s="117">
        <f ca="1">Tabla333[[#This Row],[TOTAL US$]]*$C$1</f>
        <v>1017121.0499999999</v>
      </c>
    </row>
    <row r="13" spans="1:17" ht="18" customHeight="1" x14ac:dyDescent="0.25">
      <c r="A13" s="166">
        <v>9</v>
      </c>
      <c r="B13" s="160" t="s">
        <v>46</v>
      </c>
      <c r="C13" s="161">
        <v>100.92</v>
      </c>
      <c r="D13" s="118">
        <f t="shared" ca="1" si="0"/>
        <v>372722.79</v>
      </c>
      <c r="E13" s="162">
        <v>13</v>
      </c>
      <c r="F13" s="161">
        <f>Tabla33[[#This Row],[VALOR US$]]*Tabla33[[#This Row],[CANTIDAD]]</f>
        <v>1311.96</v>
      </c>
      <c r="G13" s="117">
        <f ca="1">Tabla33[[#This Row],[TOTAL US$]]*$C$1</f>
        <v>4845396.2700000005</v>
      </c>
      <c r="I13" s="166">
        <v>9</v>
      </c>
      <c r="J13" s="160" t="s">
        <v>265</v>
      </c>
      <c r="K13" s="161">
        <v>143.91</v>
      </c>
      <c r="L13" s="118">
        <f t="shared" ca="1" si="1"/>
        <v>531495.60750000004</v>
      </c>
      <c r="M13" s="162">
        <v>1</v>
      </c>
      <c r="N13" s="161">
        <f>Tabla333[[#This Row],[VALOR US$]]*Tabla333[[#This Row],[CANTIDAD]]</f>
        <v>143.91</v>
      </c>
      <c r="O13" s="117">
        <f ca="1">Tabla333[[#This Row],[TOTAL US$]]*$C$1</f>
        <v>531495.60750000004</v>
      </c>
    </row>
    <row r="14" spans="1:17" ht="18" customHeight="1" x14ac:dyDescent="0.25">
      <c r="A14" s="163">
        <v>10</v>
      </c>
      <c r="B14" s="160" t="s">
        <v>51</v>
      </c>
      <c r="C14" s="168">
        <v>202.59</v>
      </c>
      <c r="D14" s="118">
        <f t="shared" ca="1" si="0"/>
        <v>748215.51749999996</v>
      </c>
      <c r="E14" s="162">
        <v>2</v>
      </c>
      <c r="F14" s="161">
        <f>Tabla33[[#This Row],[VALOR US$]]*Tabla33[[#This Row],[CANTIDAD]]</f>
        <v>405.18</v>
      </c>
      <c r="G14" s="117">
        <f ca="1">Tabla33[[#This Row],[TOTAL US$]]*$C$1</f>
        <v>1496431.0349999999</v>
      </c>
      <c r="I14" s="163">
        <v>10</v>
      </c>
      <c r="J14" s="169" t="s">
        <v>48</v>
      </c>
      <c r="K14" s="161">
        <v>108.35</v>
      </c>
      <c r="L14" s="118">
        <f t="shared" ca="1" si="1"/>
        <v>400163.63749999995</v>
      </c>
      <c r="M14" s="162">
        <v>1</v>
      </c>
      <c r="N14" s="161">
        <f>Tabla333[[#This Row],[VALOR US$]]*Tabla333[[#This Row],[CANTIDAD]]</f>
        <v>108.35</v>
      </c>
      <c r="O14" s="117">
        <f ca="1">Tabla333[[#This Row],[TOTAL US$]]*$C$1</f>
        <v>400163.63749999995</v>
      </c>
    </row>
    <row r="15" spans="1:17" ht="18" customHeight="1" x14ac:dyDescent="0.25">
      <c r="A15" s="166">
        <v>11</v>
      </c>
      <c r="B15" s="164" t="s">
        <v>34</v>
      </c>
      <c r="C15" s="161">
        <v>259.45</v>
      </c>
      <c r="D15" s="118">
        <f t="shared" ca="1" si="0"/>
        <v>958213.71249999991</v>
      </c>
      <c r="E15" s="162">
        <v>22</v>
      </c>
      <c r="F15" s="161">
        <f>Tabla33[[#This Row],[VALOR US$]]*Tabla33[[#This Row],[CANTIDAD]]</f>
        <v>5707.9</v>
      </c>
      <c r="G15" s="117">
        <f ca="1">Tabla33[[#This Row],[TOTAL US$]]*$C$1</f>
        <v>21080701.674999997</v>
      </c>
      <c r="I15" s="166">
        <v>11</v>
      </c>
      <c r="J15" s="160" t="s">
        <v>253</v>
      </c>
      <c r="K15" s="161">
        <v>251.6</v>
      </c>
      <c r="L15" s="118">
        <f t="shared" ca="1" si="1"/>
        <v>929221.7</v>
      </c>
      <c r="M15" s="162">
        <v>1</v>
      </c>
      <c r="N15" s="161">
        <f>Tabla333[[#This Row],[VALOR US$]]*Tabla333[[#This Row],[CANTIDAD]]</f>
        <v>251.6</v>
      </c>
      <c r="O15" s="117">
        <f ca="1">Tabla333[[#This Row],[TOTAL US$]]*$C$1</f>
        <v>929221.7</v>
      </c>
    </row>
    <row r="16" spans="1:17" ht="18" customHeight="1" x14ac:dyDescent="0.25">
      <c r="A16" s="163">
        <v>12</v>
      </c>
      <c r="B16" s="160" t="s">
        <v>60</v>
      </c>
      <c r="C16" s="161">
        <v>86.7</v>
      </c>
      <c r="D16" s="118">
        <f t="shared" ca="1" si="0"/>
        <v>320204.77500000002</v>
      </c>
      <c r="E16" s="162">
        <v>10</v>
      </c>
      <c r="F16" s="161">
        <f>Tabla33[[#This Row],[VALOR US$]]*Tabla33[[#This Row],[CANTIDAD]]</f>
        <v>867</v>
      </c>
      <c r="G16" s="117">
        <f ca="1">Tabla33[[#This Row],[TOTAL US$]]*$C$1</f>
        <v>3202047.75</v>
      </c>
      <c r="I16" s="163">
        <v>12</v>
      </c>
      <c r="J16" s="167" t="s">
        <v>271</v>
      </c>
      <c r="K16" s="161">
        <v>201.94</v>
      </c>
      <c r="L16" s="118">
        <f t="shared" ca="1" si="1"/>
        <v>745814.90500000003</v>
      </c>
      <c r="M16" s="162">
        <v>1</v>
      </c>
      <c r="N16" s="161">
        <f>Tabla333[[#This Row],[VALOR US$]]*Tabla333[[#This Row],[CANTIDAD]]</f>
        <v>201.94</v>
      </c>
      <c r="O16" s="117">
        <f ca="1">Tabla333[[#This Row],[TOTAL US$]]*$C$1</f>
        <v>745814.90500000003</v>
      </c>
    </row>
    <row r="17" spans="1:15" ht="18" customHeight="1" x14ac:dyDescent="0.25">
      <c r="A17" s="166">
        <v>13</v>
      </c>
      <c r="B17" s="164" t="s">
        <v>65</v>
      </c>
      <c r="C17" s="168">
        <v>155.75</v>
      </c>
      <c r="D17" s="118">
        <f t="shared" ca="1" si="0"/>
        <v>575223.6875</v>
      </c>
      <c r="E17" s="162">
        <v>2</v>
      </c>
      <c r="F17" s="161">
        <f>Tabla33[[#This Row],[VALOR US$]]*Tabla33[[#This Row],[CANTIDAD]]</f>
        <v>311.5</v>
      </c>
      <c r="G17" s="117">
        <f ca="1">Tabla33[[#This Row],[TOTAL US$]]*$C$1</f>
        <v>1150447.375</v>
      </c>
      <c r="I17" s="166">
        <v>13</v>
      </c>
      <c r="J17" s="160" t="s">
        <v>264</v>
      </c>
      <c r="K17" s="161">
        <v>201.94</v>
      </c>
      <c r="L17" s="118">
        <f t="shared" ca="1" si="1"/>
        <v>745814.90500000003</v>
      </c>
      <c r="M17" s="162">
        <v>1</v>
      </c>
      <c r="N17" s="161">
        <f>Tabla333[[#This Row],[VALOR US$]]*Tabla333[[#This Row],[CANTIDAD]]</f>
        <v>201.94</v>
      </c>
      <c r="O17" s="117">
        <f ca="1">Tabla333[[#This Row],[TOTAL US$]]*$C$1</f>
        <v>745814.90500000003</v>
      </c>
    </row>
    <row r="18" spans="1:15" ht="18" customHeight="1" x14ac:dyDescent="0.25">
      <c r="A18" s="163">
        <v>14</v>
      </c>
      <c r="B18" s="170" t="s">
        <v>417</v>
      </c>
      <c r="C18" s="161">
        <v>67.77</v>
      </c>
      <c r="D18" s="118">
        <f t="shared" ca="1" si="0"/>
        <v>250291.55249999999</v>
      </c>
      <c r="E18" s="162">
        <v>47</v>
      </c>
      <c r="F18" s="161">
        <f>Tabla33[[#This Row],[VALOR US$]]*Tabla33[[#This Row],[CANTIDAD]]</f>
        <v>3185.1899999999996</v>
      </c>
      <c r="G18" s="117">
        <f ca="1">Tabla33[[#This Row],[TOTAL US$]]*$C$1</f>
        <v>11763702.967499999</v>
      </c>
      <c r="I18" s="163">
        <v>14</v>
      </c>
      <c r="J18" s="164" t="s">
        <v>273</v>
      </c>
      <c r="K18" s="161">
        <v>201.94</v>
      </c>
      <c r="L18" s="118">
        <f t="shared" ca="1" si="1"/>
        <v>745814.90500000003</v>
      </c>
      <c r="M18" s="162">
        <v>1</v>
      </c>
      <c r="N18" s="161">
        <f>Tabla333[[#This Row],[VALOR US$]]*Tabla333[[#This Row],[CANTIDAD]]</f>
        <v>201.94</v>
      </c>
      <c r="O18" s="117">
        <f ca="1">Tabla333[[#This Row],[TOTAL US$]]*$C$1</f>
        <v>745814.90500000003</v>
      </c>
    </row>
    <row r="19" spans="1:15" ht="18" customHeight="1" x14ac:dyDescent="0.25">
      <c r="A19" s="166">
        <v>15</v>
      </c>
      <c r="B19" s="164" t="s">
        <v>26</v>
      </c>
      <c r="C19" s="161">
        <v>155.75</v>
      </c>
      <c r="D19" s="118">
        <f t="shared" ca="1" si="0"/>
        <v>575223.6875</v>
      </c>
      <c r="E19" s="162">
        <v>2</v>
      </c>
      <c r="F19" s="161">
        <f>Tabla33[[#This Row],[VALOR US$]]*Tabla33[[#This Row],[CANTIDAD]]</f>
        <v>311.5</v>
      </c>
      <c r="G19" s="117">
        <f ca="1">Tabla33[[#This Row],[TOTAL US$]]*$C$1</f>
        <v>1150447.375</v>
      </c>
      <c r="I19" s="166">
        <v>15</v>
      </c>
      <c r="J19" s="164" t="s">
        <v>52</v>
      </c>
      <c r="K19" s="161">
        <v>197.82</v>
      </c>
      <c r="L19" s="118">
        <f t="shared" ca="1" si="1"/>
        <v>730598.71499999997</v>
      </c>
      <c r="M19" s="162">
        <v>1</v>
      </c>
      <c r="N19" s="161">
        <f>Tabla333[[#This Row],[VALOR US$]]*Tabla333[[#This Row],[CANTIDAD]]</f>
        <v>197.82</v>
      </c>
      <c r="O19" s="117">
        <f ca="1">Tabla333[[#This Row],[TOTAL US$]]*$C$1</f>
        <v>730598.71499999997</v>
      </c>
    </row>
    <row r="20" spans="1:15" ht="18" customHeight="1" x14ac:dyDescent="0.25">
      <c r="A20" s="163">
        <v>16</v>
      </c>
      <c r="B20" s="160" t="s">
        <v>75</v>
      </c>
      <c r="C20" s="161">
        <v>150.22999999999999</v>
      </c>
      <c r="D20" s="118">
        <f t="shared" ca="1" si="0"/>
        <v>554836.94750000001</v>
      </c>
      <c r="E20" s="162">
        <v>1</v>
      </c>
      <c r="F20" s="161">
        <f>Tabla33[[#This Row],[VALOR US$]]*Tabla33[[#This Row],[CANTIDAD]]</f>
        <v>150.22999999999999</v>
      </c>
      <c r="G20" s="117">
        <f ca="1">Tabla33[[#This Row],[TOTAL US$]]*$C$1</f>
        <v>554836.94750000001</v>
      </c>
      <c r="I20" s="163">
        <v>16</v>
      </c>
      <c r="J20" s="165" t="s">
        <v>35</v>
      </c>
      <c r="K20" s="161">
        <v>260.3</v>
      </c>
      <c r="L20" s="118">
        <f t="shared" ca="1" si="1"/>
        <v>961352.97500000009</v>
      </c>
      <c r="M20" s="162">
        <v>7</v>
      </c>
      <c r="N20" s="161">
        <f>Tabla333[[#This Row],[VALOR US$]]*Tabla333[[#This Row],[CANTIDAD]]</f>
        <v>1822.1000000000001</v>
      </c>
      <c r="O20" s="117">
        <f ca="1">Tabla333[[#This Row],[TOTAL US$]]*$C$1</f>
        <v>6729470.8250000002</v>
      </c>
    </row>
    <row r="21" spans="1:15" ht="18" customHeight="1" x14ac:dyDescent="0.25">
      <c r="A21" s="166">
        <v>17</v>
      </c>
      <c r="B21" s="160" t="s">
        <v>268</v>
      </c>
      <c r="C21" s="161">
        <v>112.55</v>
      </c>
      <c r="D21" s="118">
        <f t="shared" ca="1" si="0"/>
        <v>415675.28749999998</v>
      </c>
      <c r="E21" s="162">
        <v>6</v>
      </c>
      <c r="F21" s="161">
        <f>Tabla33[[#This Row],[VALOR US$]]*Tabla33[[#This Row],[CANTIDAD]]</f>
        <v>675.3</v>
      </c>
      <c r="G21" s="117">
        <f ca="1">Tabla33[[#This Row],[TOTAL US$]]*$C$1</f>
        <v>2494051.7249999996</v>
      </c>
      <c r="I21" s="166">
        <v>17</v>
      </c>
      <c r="J21" s="160" t="s">
        <v>59</v>
      </c>
      <c r="K21" s="161">
        <v>95.65</v>
      </c>
      <c r="L21" s="118">
        <f t="shared" ca="1" si="1"/>
        <v>353259.36250000005</v>
      </c>
      <c r="M21" s="162">
        <v>1</v>
      </c>
      <c r="N21" s="161">
        <f>Tabla333[[#This Row],[VALOR US$]]*Tabla333[[#This Row],[CANTIDAD]]</f>
        <v>95.65</v>
      </c>
      <c r="O21" s="117">
        <f ca="1">Tabla333[[#This Row],[TOTAL US$]]*$C$1</f>
        <v>353259.36250000005</v>
      </c>
    </row>
    <row r="22" spans="1:15" ht="18" customHeight="1" x14ac:dyDescent="0.25">
      <c r="A22" s="163">
        <v>18</v>
      </c>
      <c r="B22" s="170" t="s">
        <v>252</v>
      </c>
      <c r="C22" s="161">
        <v>180.65</v>
      </c>
      <c r="D22" s="118">
        <f t="shared" ca="1" si="0"/>
        <v>667185.61250000005</v>
      </c>
      <c r="E22" s="162">
        <v>12</v>
      </c>
      <c r="F22" s="161">
        <f>Tabla33[[#This Row],[VALOR US$]]*Tabla33[[#This Row],[CANTIDAD]]</f>
        <v>2167.8000000000002</v>
      </c>
      <c r="G22" s="117">
        <f ca="1">Tabla33[[#This Row],[TOTAL US$]]*$C$1</f>
        <v>8006227.3500000006</v>
      </c>
      <c r="I22" s="163">
        <v>18</v>
      </c>
      <c r="J22" s="169" t="s">
        <v>66</v>
      </c>
      <c r="K22" s="161">
        <v>144.43</v>
      </c>
      <c r="L22" s="118">
        <f t="shared" ca="1" si="1"/>
        <v>533416.09750000003</v>
      </c>
      <c r="M22" s="162">
        <v>2</v>
      </c>
      <c r="N22" s="161">
        <f>Tabla333[[#This Row],[VALOR US$]]*Tabla333[[#This Row],[CANTIDAD]]</f>
        <v>288.86</v>
      </c>
      <c r="O22" s="117">
        <f ca="1">Tabla333[[#This Row],[TOTAL US$]]*$C$1</f>
        <v>1066832.1950000001</v>
      </c>
    </row>
    <row r="23" spans="1:15" ht="18" customHeight="1" x14ac:dyDescent="0.25">
      <c r="A23" s="166">
        <v>19</v>
      </c>
      <c r="B23" s="170" t="s">
        <v>78</v>
      </c>
      <c r="C23" s="168">
        <v>199.5</v>
      </c>
      <c r="D23" s="118">
        <f t="shared" ca="1" si="0"/>
        <v>736803.375</v>
      </c>
      <c r="E23" s="162">
        <v>8</v>
      </c>
      <c r="F23" s="161">
        <f>Tabla33[[#This Row],[VALOR US$]]*Tabla33[[#This Row],[CANTIDAD]]</f>
        <v>1596</v>
      </c>
      <c r="G23" s="117">
        <f ca="1">Tabla33[[#This Row],[TOTAL US$]]*$C$1</f>
        <v>5894427</v>
      </c>
      <c r="I23" s="166">
        <v>19</v>
      </c>
      <c r="J23" s="169" t="s">
        <v>47</v>
      </c>
      <c r="K23" s="161">
        <v>171.52</v>
      </c>
      <c r="L23" s="118">
        <f t="shared" ca="1" si="1"/>
        <v>633466.24</v>
      </c>
      <c r="M23" s="162">
        <v>1</v>
      </c>
      <c r="N23" s="161">
        <f>Tabla333[[#This Row],[VALOR US$]]*Tabla333[[#This Row],[CANTIDAD]]</f>
        <v>171.52</v>
      </c>
      <c r="O23" s="117">
        <f ca="1">Tabla333[[#This Row],[TOTAL US$]]*$C$1</f>
        <v>633466.24</v>
      </c>
    </row>
    <row r="24" spans="1:15" ht="18" customHeight="1" x14ac:dyDescent="0.25">
      <c r="A24" s="163">
        <v>20</v>
      </c>
      <c r="B24" s="160" t="s">
        <v>272</v>
      </c>
      <c r="C24" s="168">
        <v>159.86000000000001</v>
      </c>
      <c r="D24" s="118">
        <f t="shared" ca="1" si="0"/>
        <v>590402.94500000007</v>
      </c>
      <c r="E24" s="162">
        <v>6</v>
      </c>
      <c r="F24" s="161">
        <f>Tabla33[[#This Row],[VALOR US$]]*Tabla33[[#This Row],[CANTIDAD]]</f>
        <v>959.16000000000008</v>
      </c>
      <c r="G24" s="117">
        <f ca="1">Tabla33[[#This Row],[TOTAL US$]]*$C$1</f>
        <v>3542417.6700000004</v>
      </c>
      <c r="I24" s="171">
        <v>20</v>
      </c>
      <c r="J24" s="160" t="s">
        <v>69</v>
      </c>
      <c r="K24" s="161">
        <v>199.98</v>
      </c>
      <c r="L24" s="118">
        <f ca="1">K24*$C$1</f>
        <v>738576.13500000001</v>
      </c>
      <c r="M24" s="162">
        <v>1</v>
      </c>
      <c r="N24" s="161">
        <f>Tabla333[[#This Row],[VALOR US$]]*Tabla333[[#This Row],[CANTIDAD]]</f>
        <v>199.98</v>
      </c>
      <c r="O24" s="117">
        <f ca="1">Tabla333[[#This Row],[TOTAL US$]]*$C$1</f>
        <v>738576.13500000001</v>
      </c>
    </row>
    <row r="25" spans="1:15" ht="18" customHeight="1" x14ac:dyDescent="0.25">
      <c r="A25" s="166">
        <v>21</v>
      </c>
      <c r="B25" s="164" t="s">
        <v>246</v>
      </c>
      <c r="C25" s="168">
        <v>200.95</v>
      </c>
      <c r="D25" s="118">
        <f t="shared" ca="1" si="0"/>
        <v>742158.58749999991</v>
      </c>
      <c r="E25" s="162">
        <v>31</v>
      </c>
      <c r="F25" s="161">
        <f>Tabla33[[#This Row],[VALOR US$]]*Tabla33[[#This Row],[CANTIDAD]]</f>
        <v>6229.45</v>
      </c>
      <c r="G25" s="117">
        <f ca="1">Tabla33[[#This Row],[TOTAL US$]]*$C$1</f>
        <v>23006916.212499999</v>
      </c>
      <c r="I25" s="172"/>
      <c r="J25" s="116"/>
      <c r="K25" s="116"/>
      <c r="L25" s="116"/>
      <c r="M25" s="173" t="s">
        <v>323</v>
      </c>
      <c r="N25" s="119">
        <f>SUBTOTAL(109,Tabla333[TOTAL US$])</f>
        <v>10522.599999999999</v>
      </c>
      <c r="O25" s="120">
        <f ca="1">SUBTOTAL(109,Tabla333[TOTAL COL$])</f>
        <v>38862592.450000003</v>
      </c>
    </row>
    <row r="26" spans="1:15" ht="18" customHeight="1" x14ac:dyDescent="0.25">
      <c r="A26" s="171">
        <v>22</v>
      </c>
      <c r="B26" s="164" t="s">
        <v>41</v>
      </c>
      <c r="C26" s="161">
        <v>256.10000000000002</v>
      </c>
      <c r="D26" s="118">
        <f t="shared" ca="1" si="0"/>
        <v>945841.32500000007</v>
      </c>
      <c r="E26" s="162">
        <v>15</v>
      </c>
      <c r="F26" s="161">
        <f>Tabla33[[#This Row],[VALOR US$]]*Tabla33[[#This Row],[CANTIDAD]]</f>
        <v>3841.5000000000005</v>
      </c>
      <c r="G26" s="117">
        <f ca="1">Tabla33[[#This Row],[TOTAL US$]]*$C$1</f>
        <v>14187619.875000002</v>
      </c>
      <c r="J26" s="116"/>
      <c r="K26" s="116"/>
      <c r="L26" s="116"/>
      <c r="M26" s="123">
        <v>0.2</v>
      </c>
      <c r="N26" s="119">
        <f>N25*M26</f>
        <v>2104.52</v>
      </c>
      <c r="O26" s="120">
        <f ca="1">O25*M26</f>
        <v>7772518.4900000012</v>
      </c>
    </row>
    <row r="27" spans="1:15" ht="18" customHeight="1" x14ac:dyDescent="0.25">
      <c r="A27" s="172"/>
      <c r="E27" s="173" t="s">
        <v>323</v>
      </c>
      <c r="F27" s="119">
        <f>SUBTOTAL(109,Tabla33[TOTAL US$])</f>
        <v>33938.379999999997</v>
      </c>
      <c r="G27" s="120">
        <f ca="1">SUBTOTAL(109,Tabla33[TOTAL COL$])</f>
        <v>125342921.935</v>
      </c>
      <c r="J27" s="116"/>
      <c r="K27" s="116"/>
      <c r="L27" s="116"/>
      <c r="M27" s="174" t="s">
        <v>76</v>
      </c>
      <c r="N27" s="121">
        <f>N25+N26</f>
        <v>12627.119999999999</v>
      </c>
      <c r="O27" s="122">
        <f ca="1">O25+O26</f>
        <v>46635110.940000005</v>
      </c>
    </row>
    <row r="28" spans="1:15" ht="18" customHeight="1" x14ac:dyDescent="0.25">
      <c r="E28" s="123">
        <v>0.2</v>
      </c>
      <c r="F28" s="119">
        <f>F27*E28</f>
        <v>6787.6759999999995</v>
      </c>
      <c r="G28" s="120">
        <f ca="1">G27*E28</f>
        <v>25068584.387000002</v>
      </c>
      <c r="J28" s="116"/>
      <c r="K28" s="116"/>
      <c r="L28" s="116"/>
    </row>
    <row r="29" spans="1:15" ht="18" customHeight="1" x14ac:dyDescent="0.25">
      <c r="E29" s="174" t="s">
        <v>76</v>
      </c>
      <c r="F29" s="121">
        <f>F27+F28</f>
        <v>40726.055999999997</v>
      </c>
      <c r="G29" s="122">
        <f ca="1">G27+G28</f>
        <v>150411506.322</v>
      </c>
    </row>
    <row r="31" spans="1:15" ht="18" customHeight="1" x14ac:dyDescent="0.25">
      <c r="F31" s="129">
        <f>F29</f>
        <v>40726.055999999997</v>
      </c>
      <c r="G31" s="130">
        <f ca="1">G29</f>
        <v>150411506.322</v>
      </c>
    </row>
    <row r="32" spans="1:15" ht="18" customHeight="1" x14ac:dyDescent="0.25">
      <c r="F32" s="129">
        <f>N27</f>
        <v>12627.119999999999</v>
      </c>
      <c r="G32" s="130">
        <f ca="1">O27</f>
        <v>46635110.940000005</v>
      </c>
    </row>
    <row r="33" spans="5:7" ht="18" customHeight="1" x14ac:dyDescent="0.25">
      <c r="E33" s="174" t="s">
        <v>76</v>
      </c>
      <c r="F33" s="121">
        <f>F31+F32</f>
        <v>53353.175999999992</v>
      </c>
      <c r="G33" s="122">
        <f ca="1">G31+G32</f>
        <v>197046617.26199999</v>
      </c>
    </row>
    <row r="48" spans="5:7" ht="12" customHeight="1" x14ac:dyDescent="0.25"/>
  </sheetData>
  <mergeCells count="2">
    <mergeCell ref="A3:G3"/>
    <mergeCell ref="I3:O3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345-D77D-44FE-801A-A15727BC604F}">
  <sheetPr codeName="Hoja6"/>
  <dimension ref="A3:C5"/>
  <sheetViews>
    <sheetView workbookViewId="0">
      <selection activeCell="D14" sqref="D14"/>
    </sheetView>
  </sheetViews>
  <sheetFormatPr baseColWidth="10" defaultRowHeight="15" x14ac:dyDescent="0.25"/>
  <cols>
    <col min="1" max="1" width="17.5703125" bestFit="1" customWidth="1"/>
    <col min="2" max="2" width="27.140625" bestFit="1" customWidth="1"/>
    <col min="3" max="3" width="13.85546875" bestFit="1" customWidth="1"/>
    <col min="4" max="4" width="9.28515625" bestFit="1" customWidth="1"/>
    <col min="5" max="7" width="10.5703125" bestFit="1" customWidth="1"/>
    <col min="8" max="8" width="9.28515625" bestFit="1" customWidth="1"/>
    <col min="9" max="9" width="10.5703125" bestFit="1" customWidth="1"/>
    <col min="10" max="10" width="9.28515625" bestFit="1" customWidth="1"/>
    <col min="11" max="12" width="11" bestFit="1" customWidth="1"/>
    <col min="13" max="13" width="9.5703125" bestFit="1" customWidth="1"/>
    <col min="14" max="14" width="9.42578125" bestFit="1" customWidth="1"/>
    <col min="15" max="15" width="9.5703125" bestFit="1" customWidth="1"/>
    <col min="16" max="16" width="11" bestFit="1" customWidth="1"/>
    <col min="17" max="17" width="12.5703125" bestFit="1" customWidth="1"/>
    <col min="18" max="18" width="4.85546875" bestFit="1" customWidth="1"/>
    <col min="19" max="19" width="4.42578125" bestFit="1" customWidth="1"/>
    <col min="20" max="20" width="5.140625" bestFit="1" customWidth="1"/>
    <col min="21" max="21" width="3.7109375" bestFit="1" customWidth="1"/>
    <col min="22" max="22" width="11" bestFit="1" customWidth="1"/>
    <col min="23" max="23" width="6.85546875" bestFit="1" customWidth="1"/>
    <col min="24" max="24" width="4.85546875" bestFit="1" customWidth="1"/>
    <col min="25" max="25" width="7.85546875" bestFit="1" customWidth="1"/>
    <col min="26" max="26" width="4.85546875" bestFit="1" customWidth="1"/>
    <col min="27" max="27" width="7.85546875" bestFit="1" customWidth="1"/>
    <col min="28" max="28" width="12.85546875" bestFit="1" customWidth="1"/>
    <col min="29" max="29" width="15.85546875" bestFit="1" customWidth="1"/>
    <col min="30" max="30" width="12.5703125" bestFit="1" customWidth="1"/>
  </cols>
  <sheetData>
    <row r="3" spans="1:3" x14ac:dyDescent="0.25">
      <c r="A3" s="276" t="s">
        <v>434</v>
      </c>
      <c r="B3" t="s">
        <v>437</v>
      </c>
      <c r="C3" t="s">
        <v>436</v>
      </c>
    </row>
    <row r="4" spans="1:3" x14ac:dyDescent="0.25">
      <c r="A4" s="277" t="s">
        <v>51</v>
      </c>
      <c r="B4">
        <v>-1446</v>
      </c>
      <c r="C4">
        <v>2</v>
      </c>
    </row>
    <row r="5" spans="1:3" x14ac:dyDescent="0.25">
      <c r="A5" s="277" t="s">
        <v>435</v>
      </c>
      <c r="B5">
        <v>-1446</v>
      </c>
      <c r="C5">
        <v>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6AD2-BE9E-4D19-9059-81DBDE6F8472}">
  <sheetPr codeName="Hoja7"/>
  <dimension ref="A1:V81"/>
  <sheetViews>
    <sheetView topLeftCell="A18" zoomScaleNormal="100" workbookViewId="0">
      <selection activeCell="J25" sqref="J25"/>
    </sheetView>
  </sheetViews>
  <sheetFormatPr baseColWidth="10" defaultColWidth="11.42578125" defaultRowHeight="16.5" x14ac:dyDescent="0.3"/>
  <cols>
    <col min="1" max="1" width="4.7109375" style="7" customWidth="1"/>
    <col min="2" max="2" width="18.28515625" style="112" customWidth="1"/>
    <col min="3" max="4" width="13.5703125" style="7" customWidth="1"/>
    <col min="5" max="5" width="13.5703125" style="8" customWidth="1"/>
    <col min="6" max="6" width="3.7109375" customWidth="1"/>
    <col min="7" max="7" width="6.7109375" style="1" customWidth="1"/>
    <col min="8" max="8" width="13.7109375" style="1" customWidth="1"/>
    <col min="9" max="9" width="6.7109375" style="2" customWidth="1"/>
    <col min="10" max="10" width="13.7109375" style="2" customWidth="1"/>
    <col min="11" max="11" width="3.7109375" customWidth="1"/>
    <col min="12" max="12" width="6.7109375" style="1" customWidth="1"/>
    <col min="13" max="13" width="13.7109375" style="1" customWidth="1"/>
    <col min="14" max="14" width="6.7109375" style="2" customWidth="1"/>
    <col min="15" max="15" width="13.7109375" style="2" customWidth="1"/>
    <col min="16" max="16" width="3.7109375" customWidth="1"/>
    <col min="17" max="17" width="6.7109375" customWidth="1"/>
    <col min="18" max="18" width="13.7109375" customWidth="1"/>
    <col min="19" max="19" width="6.5703125" customWidth="1"/>
    <col min="20" max="20" width="13.7109375" customWidth="1"/>
    <col min="21" max="21" width="6.7109375" hidden="1" customWidth="1"/>
    <col min="22" max="22" width="13.7109375" hidden="1" customWidth="1"/>
  </cols>
  <sheetData>
    <row r="1" spans="1:22" x14ac:dyDescent="0.25">
      <c r="A1" s="415" t="s">
        <v>131</v>
      </c>
      <c r="B1" s="415"/>
      <c r="C1" s="415"/>
      <c r="D1" s="415"/>
      <c r="E1" s="415"/>
      <c r="G1" s="413" t="s">
        <v>1</v>
      </c>
      <c r="H1" s="413"/>
      <c r="I1" s="413"/>
      <c r="J1" s="413"/>
      <c r="L1" s="413" t="s">
        <v>239</v>
      </c>
      <c r="M1" s="413"/>
      <c r="N1" s="413"/>
      <c r="O1" s="413"/>
      <c r="Q1" s="413" t="s">
        <v>76</v>
      </c>
      <c r="R1" s="413"/>
      <c r="S1" s="413"/>
      <c r="T1" s="413"/>
      <c r="U1" s="65" t="s">
        <v>12</v>
      </c>
      <c r="V1" s="65" t="s">
        <v>290</v>
      </c>
    </row>
    <row r="2" spans="1:22" ht="22.5" customHeight="1" x14ac:dyDescent="0.25">
      <c r="A2" s="415" t="s">
        <v>291</v>
      </c>
      <c r="B2" s="415"/>
      <c r="C2" s="415"/>
      <c r="D2" s="415"/>
      <c r="E2" s="415"/>
      <c r="G2" s="414" t="s">
        <v>2</v>
      </c>
      <c r="H2" s="414"/>
      <c r="I2" s="414"/>
      <c r="J2" s="414"/>
      <c r="L2" s="414" t="s">
        <v>2</v>
      </c>
      <c r="M2" s="414"/>
      <c r="N2" s="414"/>
      <c r="O2" s="414"/>
      <c r="Q2" s="414" t="s">
        <v>2</v>
      </c>
      <c r="R2" s="414"/>
      <c r="S2" s="414"/>
      <c r="T2" s="414"/>
      <c r="U2" s="96">
        <f>SUMIF(REFUELLERS[1º ETAPA],V2,REFUELLERS[CANT])</f>
        <v>0</v>
      </c>
      <c r="V2" s="99" t="s">
        <v>28</v>
      </c>
    </row>
    <row r="3" spans="1:22" x14ac:dyDescent="0.25">
      <c r="A3" s="65" t="s">
        <v>3</v>
      </c>
      <c r="B3" s="101" t="s">
        <v>40</v>
      </c>
      <c r="C3" s="68" t="s">
        <v>292</v>
      </c>
      <c r="D3" s="68" t="s">
        <v>25</v>
      </c>
      <c r="E3" s="68" t="s">
        <v>293</v>
      </c>
      <c r="G3" s="65" t="s">
        <v>12</v>
      </c>
      <c r="H3" s="65" t="s">
        <v>13</v>
      </c>
      <c r="I3" s="65" t="s">
        <v>12</v>
      </c>
      <c r="J3" s="65" t="s">
        <v>15</v>
      </c>
      <c r="L3" s="65" t="s">
        <v>12</v>
      </c>
      <c r="M3" s="65" t="s">
        <v>13</v>
      </c>
      <c r="N3" s="65" t="s">
        <v>12</v>
      </c>
      <c r="O3" s="65" t="s">
        <v>15</v>
      </c>
      <c r="Q3" s="65" t="s">
        <v>12</v>
      </c>
      <c r="R3" s="65" t="s">
        <v>13</v>
      </c>
      <c r="S3" s="65" t="s">
        <v>12</v>
      </c>
      <c r="T3" s="65" t="s">
        <v>15</v>
      </c>
      <c r="U3" s="24">
        <f>SUMIF(REFUELLERS[1º ETAPA],V3,REFUELLERS[CANT])</f>
        <v>0</v>
      </c>
      <c r="V3" s="75" t="s">
        <v>36</v>
      </c>
    </row>
    <row r="4" spans="1:22" x14ac:dyDescent="0.25">
      <c r="A4" s="89">
        <v>1</v>
      </c>
      <c r="B4" s="86" t="s">
        <v>248</v>
      </c>
      <c r="C4" s="109">
        <v>180.6</v>
      </c>
      <c r="D4" s="91" t="s">
        <v>294</v>
      </c>
      <c r="E4" s="109">
        <v>155.72</v>
      </c>
      <c r="G4" s="96">
        <f>SUMIF(REFUELLERS[1º ETAPA],H4,REFUELLERS[CANT])</f>
        <v>0</v>
      </c>
      <c r="H4" s="99" t="s">
        <v>28</v>
      </c>
      <c r="I4" s="103">
        <f>SUMIF(REFUELLERS[2º ETAPA],J4,REFUELLERS[[CANT ]])</f>
        <v>0</v>
      </c>
      <c r="J4" s="102" t="s">
        <v>29</v>
      </c>
      <c r="L4" s="96">
        <f>SUMIF(PLANTAS[1º ETAPA],M4,PLANTAS[CANT])</f>
        <v>0</v>
      </c>
      <c r="M4" s="96" t="s">
        <v>248</v>
      </c>
      <c r="N4" s="103">
        <f>SUMIF(PLANTAS[2º ETAPA],O4,PLANTAS[[CANT ]])</f>
        <v>0</v>
      </c>
      <c r="O4" s="102" t="s">
        <v>249</v>
      </c>
      <c r="Q4" s="96">
        <f t="shared" ref="Q4:Q25" si="0">SUMIF($V$2:$V$42,R4,$U$2:$U$42)</f>
        <v>0</v>
      </c>
      <c r="R4" s="99" t="s">
        <v>28</v>
      </c>
      <c r="S4" s="96">
        <f t="shared" ref="S4:S23" si="1">SUMIF($V$2:$V$42,T4,$U$2:$U$42)</f>
        <v>0</v>
      </c>
      <c r="T4" s="102" t="s">
        <v>29</v>
      </c>
      <c r="U4" s="96">
        <f>SUMIF(REFUELLERS[1º ETAPA],V4,REFUELLERS[CANT])</f>
        <v>0</v>
      </c>
      <c r="V4" s="102" t="s">
        <v>43</v>
      </c>
    </row>
    <row r="5" spans="1:22" x14ac:dyDescent="0.25">
      <c r="A5" s="32">
        <f t="shared" ref="A5:A42" si="2">A4+1</f>
        <v>2</v>
      </c>
      <c r="B5" s="79" t="s">
        <v>28</v>
      </c>
      <c r="C5" s="109">
        <v>180.6</v>
      </c>
      <c r="D5" s="90" t="s">
        <v>294</v>
      </c>
      <c r="E5" s="109">
        <v>155.72</v>
      </c>
      <c r="G5" s="24">
        <f>SUMIF(REFUELLERS[1º ETAPA],H5,REFUELLERS[CANT])</f>
        <v>0</v>
      </c>
      <c r="H5" s="75" t="s">
        <v>36</v>
      </c>
      <c r="I5" s="14">
        <f>SUMIF(REFUELLERS[2º ETAPA],J5,REFUELLERS[[CANT ]])</f>
        <v>1</v>
      </c>
      <c r="J5" s="81" t="s">
        <v>37</v>
      </c>
      <c r="L5" s="24">
        <f>SUMIF(PLANTAS[1º ETAPA],M5,PLANTAS[CANT])</f>
        <v>0</v>
      </c>
      <c r="M5" s="24" t="s">
        <v>254</v>
      </c>
      <c r="N5" s="14">
        <f>SUMIF(PLANTAS[2º ETAPA],O5,PLANTAS[[CANT ]])</f>
        <v>1</v>
      </c>
      <c r="O5" s="81" t="s">
        <v>255</v>
      </c>
      <c r="Q5" s="24">
        <f t="shared" si="0"/>
        <v>0</v>
      </c>
      <c r="R5" s="24" t="s">
        <v>248</v>
      </c>
      <c r="S5" s="24">
        <f t="shared" si="1"/>
        <v>1</v>
      </c>
      <c r="T5" s="81" t="s">
        <v>37</v>
      </c>
      <c r="U5" s="24">
        <f>SUMIF(REFUELLERS[1º ETAPA],V5,REFUELLERS[CANT])</f>
        <v>11</v>
      </c>
      <c r="V5" s="24" t="s">
        <v>46</v>
      </c>
    </row>
    <row r="6" spans="1:22" x14ac:dyDescent="0.3">
      <c r="A6" s="89">
        <f t="shared" si="2"/>
        <v>3</v>
      </c>
      <c r="B6" s="86" t="s">
        <v>254</v>
      </c>
      <c r="C6" s="113"/>
      <c r="D6" s="25"/>
      <c r="E6" s="113"/>
      <c r="G6" s="96">
        <f>SUMIF(REFUELLERS[1º ETAPA],H6,REFUELLERS[CANT])</f>
        <v>0</v>
      </c>
      <c r="H6" s="102" t="s">
        <v>43</v>
      </c>
      <c r="I6" s="103">
        <f>SUMIF(REFUELLERS[2º ETAPA],J6,REFUELLERS[[CANT ]])</f>
        <v>2</v>
      </c>
      <c r="J6" s="102" t="s">
        <v>42</v>
      </c>
      <c r="L6" s="96">
        <f>SUMIF(PLANTAS[1º ETAPA],M6,PLANTAS[CANT])</f>
        <v>0</v>
      </c>
      <c r="M6" s="106" t="s">
        <v>257</v>
      </c>
      <c r="N6" s="103">
        <f>SUMIF(PLANTAS[2º ETAPA],O6,PLANTAS[[CANT ]])</f>
        <v>0</v>
      </c>
      <c r="O6" s="107" t="s">
        <v>256</v>
      </c>
      <c r="Q6" s="96">
        <f t="shared" si="0"/>
        <v>0</v>
      </c>
      <c r="R6" s="102" t="s">
        <v>254</v>
      </c>
      <c r="S6" s="96">
        <f t="shared" si="1"/>
        <v>2</v>
      </c>
      <c r="T6" s="102" t="s">
        <v>42</v>
      </c>
      <c r="U6" s="96">
        <f>SUMIF(REFUELLERS[1º ETAPA],V6,REFUELLERS[CANT])</f>
        <v>2</v>
      </c>
      <c r="V6" s="96" t="s">
        <v>51</v>
      </c>
    </row>
    <row r="7" spans="1:22" x14ac:dyDescent="0.3">
      <c r="A7" s="32">
        <f t="shared" si="2"/>
        <v>4</v>
      </c>
      <c r="B7" s="110" t="s">
        <v>257</v>
      </c>
      <c r="C7" s="113"/>
      <c r="D7" s="25"/>
      <c r="E7" s="113"/>
      <c r="G7" s="24">
        <f>SUMIF(REFUELLERS[1º ETAPA],H7,REFUELLERS[CANT])</f>
        <v>11</v>
      </c>
      <c r="H7" s="24" t="s">
        <v>46</v>
      </c>
      <c r="I7" s="14">
        <f>SUMIF(REFUELLERS[2º ETAPA],J7,REFUELLERS[[CANT ]])</f>
        <v>1</v>
      </c>
      <c r="J7" s="75" t="s">
        <v>48</v>
      </c>
      <c r="L7" s="24">
        <f>SUMIF(PLANTAS[1º ETAPA],M7,PLANTAS[CANT])</f>
        <v>0</v>
      </c>
      <c r="M7" s="24" t="s">
        <v>261</v>
      </c>
      <c r="N7" s="14">
        <f>SUMIF(PLANTAS[2º ETAPA],O7,PLANTAS[[CANT ]])</f>
        <v>2</v>
      </c>
      <c r="O7" s="24" t="s">
        <v>247</v>
      </c>
      <c r="Q7" s="24">
        <f t="shared" si="0"/>
        <v>0</v>
      </c>
      <c r="R7" s="94" t="s">
        <v>257</v>
      </c>
      <c r="S7" s="24">
        <f t="shared" si="1"/>
        <v>0</v>
      </c>
      <c r="T7" s="24" t="s">
        <v>249</v>
      </c>
      <c r="U7" s="24">
        <f>SUMIF(REFUELLERS[1º ETAPA],V7,REFUELLERS[CANT])</f>
        <v>21</v>
      </c>
      <c r="V7" s="14" t="s">
        <v>34</v>
      </c>
    </row>
    <row r="8" spans="1:22" x14ac:dyDescent="0.3">
      <c r="A8" s="89">
        <f t="shared" si="2"/>
        <v>5</v>
      </c>
      <c r="B8" s="86" t="s">
        <v>261</v>
      </c>
      <c r="C8" s="113"/>
      <c r="D8" s="25"/>
      <c r="E8" s="113"/>
      <c r="G8" s="96">
        <f>SUMIF(REFUELLERS[1º ETAPA],H8,REFUELLERS[CANT])</f>
        <v>2</v>
      </c>
      <c r="H8" s="96" t="s">
        <v>51</v>
      </c>
      <c r="I8" s="103">
        <f>SUMIF(REFUELLERS[2º ETAPA],J8,REFUELLERS[[CANT ]])</f>
        <v>1</v>
      </c>
      <c r="J8" s="99" t="s">
        <v>52</v>
      </c>
      <c r="L8" s="96">
        <f>SUMIF(PLANTAS[1º ETAPA],M8,PLANTAS[CANT])</f>
        <v>0</v>
      </c>
      <c r="M8" s="106" t="s">
        <v>262</v>
      </c>
      <c r="N8" s="103">
        <f>SUMIF(PLANTAS[2º ETAPA],O8,PLANTAS[[CANT ]])</f>
        <v>0</v>
      </c>
      <c r="O8" s="102" t="s">
        <v>263</v>
      </c>
      <c r="Q8" s="96">
        <f t="shared" si="0"/>
        <v>0</v>
      </c>
      <c r="R8" s="102" t="s">
        <v>261</v>
      </c>
      <c r="S8" s="96">
        <f t="shared" si="1"/>
        <v>1</v>
      </c>
      <c r="T8" s="107" t="s">
        <v>255</v>
      </c>
      <c r="U8" s="96">
        <f>SUMIF(REFUELLERS[1º ETAPA],V8,REFUELLERS[CANT])</f>
        <v>10</v>
      </c>
      <c r="V8" s="102" t="s">
        <v>60</v>
      </c>
    </row>
    <row r="9" spans="1:22" x14ac:dyDescent="0.3">
      <c r="A9" s="32">
        <f t="shared" si="2"/>
        <v>6</v>
      </c>
      <c r="B9" s="90" t="s">
        <v>295</v>
      </c>
      <c r="C9" s="109">
        <v>256.55</v>
      </c>
      <c r="D9" s="90" t="s">
        <v>296</v>
      </c>
      <c r="E9" s="109"/>
      <c r="G9" s="24">
        <f>SUMIF(REFUELLERS[1º ETAPA],H9,REFUELLERS[CANT])</f>
        <v>21</v>
      </c>
      <c r="H9" s="14" t="s">
        <v>34</v>
      </c>
      <c r="I9" s="14">
        <f>SUMIF(REFUELLERS[2º ETAPA],J9,REFUELLERS[[CANT ]])</f>
        <v>8</v>
      </c>
      <c r="J9" s="81" t="s">
        <v>35</v>
      </c>
      <c r="L9" s="24">
        <f>SUMIF(PLANTAS[1º ETAPA],M9,PLANTAS[CANT])</f>
        <v>0</v>
      </c>
      <c r="M9" s="24" t="s">
        <v>34</v>
      </c>
      <c r="N9" s="14">
        <f>SUMIF(PLANTAS[2º ETAPA],O9,PLANTAS[[CANT ]])</f>
        <v>0</v>
      </c>
      <c r="O9" s="24" t="s">
        <v>265</v>
      </c>
      <c r="Q9" s="24">
        <f t="shared" si="0"/>
        <v>0</v>
      </c>
      <c r="R9" s="94" t="s">
        <v>262</v>
      </c>
      <c r="S9" s="24">
        <f t="shared" si="1"/>
        <v>0</v>
      </c>
      <c r="T9" s="81" t="s">
        <v>256</v>
      </c>
      <c r="U9" s="24">
        <f>SUMIF(REFUELLERS[1º ETAPA],V9,REFUELLERS[CANT])</f>
        <v>2</v>
      </c>
      <c r="V9" s="14" t="s">
        <v>65</v>
      </c>
    </row>
    <row r="10" spans="1:22" x14ac:dyDescent="0.25">
      <c r="A10" s="89">
        <f t="shared" si="2"/>
        <v>7</v>
      </c>
      <c r="B10" s="90" t="s">
        <v>262</v>
      </c>
      <c r="C10" s="109">
        <v>151.19999999999999</v>
      </c>
      <c r="D10" s="90" t="s">
        <v>297</v>
      </c>
      <c r="E10" s="109"/>
      <c r="G10" s="96">
        <f>SUMIF(REFUELLERS[1º ETAPA],H10,REFUELLERS[CANT])</f>
        <v>10</v>
      </c>
      <c r="H10" s="102" t="s">
        <v>60</v>
      </c>
      <c r="I10" s="103">
        <f>SUMIF(REFUELLERS[2º ETAPA],J10,REFUELLERS[[CANT ]])</f>
        <v>0</v>
      </c>
      <c r="J10" s="96" t="s">
        <v>59</v>
      </c>
      <c r="L10" s="96">
        <f>SUMIF(PLANTAS[1º ETAPA],M10,PLANTAS[CANT])</f>
        <v>0</v>
      </c>
      <c r="M10" s="96" t="s">
        <v>268</v>
      </c>
      <c r="N10" s="103">
        <f>SUMIF(PLANTAS[2º ETAPA],O10,PLANTAS[[CANT ]])</f>
        <v>0</v>
      </c>
      <c r="O10" s="108" t="s">
        <v>48</v>
      </c>
      <c r="Q10" s="96">
        <f t="shared" si="0"/>
        <v>0</v>
      </c>
      <c r="R10" s="108" t="s">
        <v>36</v>
      </c>
      <c r="S10" s="96">
        <f t="shared" si="1"/>
        <v>2</v>
      </c>
      <c r="T10" s="102" t="s">
        <v>247</v>
      </c>
      <c r="U10" s="96">
        <f>SUMIF(REFUELLERS[1º ETAPA],V10,REFUELLERS[CANT])</f>
        <v>27</v>
      </c>
      <c r="V10" s="104" t="s">
        <v>57</v>
      </c>
    </row>
    <row r="11" spans="1:22" x14ac:dyDescent="0.3">
      <c r="A11" s="32">
        <f t="shared" si="2"/>
        <v>8</v>
      </c>
      <c r="B11" s="110" t="s">
        <v>262</v>
      </c>
      <c r="C11" s="113"/>
      <c r="D11" s="25"/>
      <c r="E11" s="113"/>
      <c r="G11" s="24">
        <f>SUMIF(REFUELLERS[1º ETAPA],H11,REFUELLERS[CANT])</f>
        <v>2</v>
      </c>
      <c r="H11" s="14" t="s">
        <v>65</v>
      </c>
      <c r="I11" s="14">
        <f>SUMIF(REFUELLERS[2º ETAPA],J11,REFUELLERS[[CANT ]])</f>
        <v>2</v>
      </c>
      <c r="J11" s="75" t="s">
        <v>66</v>
      </c>
      <c r="L11" s="24">
        <f>SUMIF(PLANTAS[1º ETAPA],M11,PLANTAS[CANT])</f>
        <v>4</v>
      </c>
      <c r="M11" s="19" t="s">
        <v>252</v>
      </c>
      <c r="N11" s="14">
        <f>SUMIF(PLANTAS[2º ETAPA],O11,PLANTAS[[CANT ]])</f>
        <v>3</v>
      </c>
      <c r="O11" s="24" t="s">
        <v>253</v>
      </c>
      <c r="Q11" s="24">
        <f t="shared" si="0"/>
        <v>0</v>
      </c>
      <c r="R11" s="24" t="s">
        <v>43</v>
      </c>
      <c r="S11" s="24">
        <f t="shared" si="1"/>
        <v>0</v>
      </c>
      <c r="T11" s="24" t="s">
        <v>263</v>
      </c>
      <c r="U11" s="24">
        <f>SUMIF(REFUELLERS[1º ETAPA],V11,REFUELLERS[CANT])</f>
        <v>0</v>
      </c>
      <c r="V11" s="14" t="s">
        <v>26</v>
      </c>
    </row>
    <row r="12" spans="1:22" x14ac:dyDescent="0.3">
      <c r="A12" s="89">
        <f t="shared" si="2"/>
        <v>9</v>
      </c>
      <c r="B12" s="90" t="s">
        <v>298</v>
      </c>
      <c r="C12" s="109">
        <v>151.19999999999999</v>
      </c>
      <c r="D12" s="90" t="s">
        <v>297</v>
      </c>
      <c r="E12" s="109"/>
      <c r="G12" s="96">
        <f>SUMIF(REFUELLERS[1º ETAPA],H12,REFUELLERS[CANT])</f>
        <v>27</v>
      </c>
      <c r="H12" s="104" t="s">
        <v>57</v>
      </c>
      <c r="I12" s="103">
        <f>SUMIF(REFUELLERS[2º ETAPA],J12,REFUELLERS[[CANT ]])</f>
        <v>0</v>
      </c>
      <c r="J12" s="100" t="s">
        <v>47</v>
      </c>
      <c r="L12" s="96">
        <f>SUMIF(PLANTAS[1º ETAPA],M12,PLANTAS[CANT])</f>
        <v>2</v>
      </c>
      <c r="M12" s="108" t="s">
        <v>78</v>
      </c>
      <c r="N12" s="103">
        <f>SUMIF(PLANTAS[2º ETAPA],O12,PLANTAS[[CANT ]])</f>
        <v>0</v>
      </c>
      <c r="O12" s="106" t="s">
        <v>271</v>
      </c>
      <c r="Q12" s="96">
        <f t="shared" si="0"/>
        <v>11</v>
      </c>
      <c r="R12" s="102" t="s">
        <v>46</v>
      </c>
      <c r="S12" s="96">
        <f t="shared" si="1"/>
        <v>0</v>
      </c>
      <c r="T12" s="102" t="s">
        <v>265</v>
      </c>
      <c r="U12" s="96">
        <f>SUMIF(REFUELLERS[1º ETAPA],V12,REFUELLERS[CANT])</f>
        <v>0</v>
      </c>
      <c r="V12" s="102" t="s">
        <v>75</v>
      </c>
    </row>
    <row r="13" spans="1:22" x14ac:dyDescent="0.25">
      <c r="A13" s="32">
        <f t="shared" si="2"/>
        <v>10</v>
      </c>
      <c r="B13" s="92" t="s">
        <v>299</v>
      </c>
      <c r="C13" s="109"/>
      <c r="D13" s="90" t="s">
        <v>34</v>
      </c>
      <c r="E13" s="109"/>
      <c r="G13" s="24">
        <f>SUMIF(REFUELLERS[1º ETAPA],H13,REFUELLERS[CANT])</f>
        <v>0</v>
      </c>
      <c r="H13" s="14" t="s">
        <v>26</v>
      </c>
      <c r="I13" s="14">
        <f>SUMIF(REFUELLERS[2º ETAPA],J13,REFUELLERS[[CANT ]])</f>
        <v>1</v>
      </c>
      <c r="J13" s="24" t="s">
        <v>69</v>
      </c>
      <c r="L13" s="24">
        <f>SUMIF(PLANTAS[1º ETAPA],M13,PLANTAS[CANT])</f>
        <v>4</v>
      </c>
      <c r="M13" s="24" t="s">
        <v>272</v>
      </c>
      <c r="N13" s="14">
        <f>SUMIF(PLANTAS[2º ETAPA],O13,PLANTAS[[CANT ]])</f>
        <v>1</v>
      </c>
      <c r="O13" s="24" t="s">
        <v>264</v>
      </c>
      <c r="Q13" s="24">
        <f t="shared" si="0"/>
        <v>2</v>
      </c>
      <c r="R13" s="24" t="s">
        <v>51</v>
      </c>
      <c r="S13" s="24">
        <f t="shared" si="1"/>
        <v>1</v>
      </c>
      <c r="T13" s="75" t="s">
        <v>48</v>
      </c>
      <c r="U13" s="24">
        <f>SUMIF(REFUELLERS[1º ETAPA],V13,REFUELLERS[CANT])</f>
        <v>4</v>
      </c>
      <c r="V13" s="19" t="s">
        <v>78</v>
      </c>
    </row>
    <row r="14" spans="1:22" x14ac:dyDescent="0.25">
      <c r="A14" s="89">
        <f t="shared" si="2"/>
        <v>11</v>
      </c>
      <c r="B14" s="92" t="s">
        <v>300</v>
      </c>
      <c r="C14" s="109"/>
      <c r="D14" s="92" t="s">
        <v>301</v>
      </c>
      <c r="E14" s="109"/>
      <c r="G14" s="96">
        <f>SUMIF(REFUELLERS[1º ETAPA],H14,REFUELLERS[CANT])</f>
        <v>0</v>
      </c>
      <c r="H14" s="102" t="s">
        <v>75</v>
      </c>
      <c r="I14" s="105">
        <f>SUM(I4:I13)</f>
        <v>16</v>
      </c>
      <c r="J14" s="105" t="s">
        <v>76</v>
      </c>
      <c r="L14" s="96">
        <f>SUMIF(PLANTAS[1º ETAPA],M14,PLANTAS[CANT])</f>
        <v>4</v>
      </c>
      <c r="M14" s="103" t="s">
        <v>246</v>
      </c>
      <c r="N14" s="103">
        <f>SUMIF(PLANTAS[2º ETAPA],O14,PLANTAS[[CANT ]])</f>
        <v>0</v>
      </c>
      <c r="O14" s="103" t="s">
        <v>273</v>
      </c>
      <c r="Q14" s="96">
        <f t="shared" si="0"/>
        <v>21</v>
      </c>
      <c r="R14" s="103" t="s">
        <v>34</v>
      </c>
      <c r="S14" s="96">
        <f t="shared" si="1"/>
        <v>0</v>
      </c>
      <c r="T14" s="102" t="s">
        <v>253</v>
      </c>
      <c r="U14" s="96">
        <f>SUMIF(REFUELLERS[1º ETAPA],V14,REFUELLERS[CANT])</f>
        <v>8</v>
      </c>
      <c r="V14" s="99" t="s">
        <v>41</v>
      </c>
    </row>
    <row r="15" spans="1:22" x14ac:dyDescent="0.3">
      <c r="A15" s="32">
        <f t="shared" si="2"/>
        <v>12</v>
      </c>
      <c r="B15" s="86" t="s">
        <v>60</v>
      </c>
      <c r="C15" s="109"/>
      <c r="D15" s="92" t="s">
        <v>301</v>
      </c>
      <c r="E15" s="109"/>
      <c r="G15" s="24">
        <f>SUMIF(REFUELLERS[1º ETAPA],H15,REFUELLERS[CANT])</f>
        <v>4</v>
      </c>
      <c r="H15" s="19" t="s">
        <v>78</v>
      </c>
      <c r="L15" s="24">
        <f>SUMIF(PLANTAS[1º ETAPA],M15,PLANTAS[CANT])</f>
        <v>0</v>
      </c>
      <c r="M15" s="24" t="s">
        <v>41</v>
      </c>
      <c r="N15" s="14">
        <f>SUMIF(PLANTAS[2º ETAPA],O15,PLANTAS[[CANT ]])</f>
        <v>0</v>
      </c>
      <c r="O15" s="24" t="s">
        <v>47</v>
      </c>
      <c r="Q15" s="24">
        <f t="shared" si="0"/>
        <v>10</v>
      </c>
      <c r="R15" s="24" t="s">
        <v>60</v>
      </c>
      <c r="S15" s="24">
        <f t="shared" si="1"/>
        <v>0</v>
      </c>
      <c r="T15" s="94" t="s">
        <v>271</v>
      </c>
      <c r="U15" s="96">
        <f>SUMIF(PLANTAS[1º ETAPA],V15,PLANTAS[CANT])</f>
        <v>0</v>
      </c>
      <c r="V15" s="96" t="s">
        <v>248</v>
      </c>
    </row>
    <row r="16" spans="1:22" x14ac:dyDescent="0.3">
      <c r="A16" s="89">
        <f t="shared" si="2"/>
        <v>13</v>
      </c>
      <c r="B16" s="90" t="s">
        <v>302</v>
      </c>
      <c r="C16" s="109"/>
      <c r="D16" s="92" t="s">
        <v>301</v>
      </c>
      <c r="E16" s="109"/>
      <c r="G16" s="96">
        <f>SUMIF(REFUELLERS[1º ETAPA],H16,REFUELLERS[CANT])</f>
        <v>8</v>
      </c>
      <c r="H16" s="99" t="s">
        <v>41</v>
      </c>
      <c r="L16" s="105">
        <f>SUM(L4:L15)</f>
        <v>14</v>
      </c>
      <c r="M16" s="105" t="s">
        <v>76</v>
      </c>
      <c r="N16" s="105">
        <f>SUM(N4:N15)</f>
        <v>7</v>
      </c>
      <c r="O16" s="105" t="s">
        <v>76</v>
      </c>
      <c r="Q16" s="96">
        <f t="shared" si="0"/>
        <v>2</v>
      </c>
      <c r="R16" s="103" t="s">
        <v>65</v>
      </c>
      <c r="S16" s="96">
        <f t="shared" si="1"/>
        <v>0</v>
      </c>
      <c r="T16" s="102" t="s">
        <v>264</v>
      </c>
      <c r="U16" s="24">
        <f>SUMIF(PLANTAS[1º ETAPA],V16,PLANTAS[CANT])</f>
        <v>0</v>
      </c>
      <c r="V16" s="24" t="s">
        <v>254</v>
      </c>
    </row>
    <row r="17" spans="1:22" x14ac:dyDescent="0.3">
      <c r="A17" s="32">
        <f t="shared" si="2"/>
        <v>14</v>
      </c>
      <c r="B17" s="86" t="s">
        <v>268</v>
      </c>
      <c r="C17" s="109"/>
      <c r="D17" s="86" t="s">
        <v>43</v>
      </c>
      <c r="E17" s="109"/>
      <c r="G17" s="105">
        <f>SUM(G4:G16)</f>
        <v>85</v>
      </c>
      <c r="H17" s="105" t="s">
        <v>76</v>
      </c>
      <c r="Q17" s="24">
        <f t="shared" si="0"/>
        <v>27</v>
      </c>
      <c r="R17" s="19" t="s">
        <v>57</v>
      </c>
      <c r="S17" s="24">
        <f t="shared" si="1"/>
        <v>0</v>
      </c>
      <c r="T17" s="14" t="s">
        <v>273</v>
      </c>
      <c r="U17" s="96">
        <f>SUMIF(PLANTAS[1º ETAPA],V17,PLANTAS[CANT])</f>
        <v>0</v>
      </c>
      <c r="V17" s="106" t="s">
        <v>257</v>
      </c>
    </row>
    <row r="18" spans="1:22" x14ac:dyDescent="0.3">
      <c r="A18" s="89">
        <f t="shared" si="2"/>
        <v>15</v>
      </c>
      <c r="B18" s="98" t="s">
        <v>252</v>
      </c>
      <c r="C18" s="109"/>
      <c r="D18" s="90" t="s">
        <v>46</v>
      </c>
      <c r="E18" s="109"/>
      <c r="Q18" s="96">
        <f t="shared" si="0"/>
        <v>0</v>
      </c>
      <c r="R18" s="103" t="s">
        <v>26</v>
      </c>
      <c r="S18" s="96">
        <f t="shared" si="1"/>
        <v>1</v>
      </c>
      <c r="T18" s="99" t="s">
        <v>52</v>
      </c>
      <c r="U18" s="24">
        <f>SUMIF(PLANTAS[1º ETAPA],V18,PLANTAS[CANT])</f>
        <v>0</v>
      </c>
      <c r="V18" s="24" t="s">
        <v>261</v>
      </c>
    </row>
    <row r="19" spans="1:22" x14ac:dyDescent="0.3">
      <c r="A19" s="32">
        <f t="shared" si="2"/>
        <v>16</v>
      </c>
      <c r="B19" s="98" t="s">
        <v>78</v>
      </c>
      <c r="C19" s="109"/>
      <c r="D19" s="86" t="s">
        <v>46</v>
      </c>
      <c r="E19" s="109"/>
      <c r="Q19" s="24">
        <f t="shared" si="0"/>
        <v>0</v>
      </c>
      <c r="R19" s="24" t="s">
        <v>75</v>
      </c>
      <c r="S19" s="24">
        <f t="shared" si="1"/>
        <v>8</v>
      </c>
      <c r="T19" s="81" t="s">
        <v>35</v>
      </c>
      <c r="U19" s="96">
        <f>SUMIF(PLANTAS[1º ETAPA],V19,PLANTAS[CANT])</f>
        <v>0</v>
      </c>
      <c r="V19" s="106" t="s">
        <v>262</v>
      </c>
    </row>
    <row r="20" spans="1:22" x14ac:dyDescent="0.3">
      <c r="A20" s="89">
        <f t="shared" si="2"/>
        <v>17</v>
      </c>
      <c r="B20" s="86" t="s">
        <v>272</v>
      </c>
      <c r="C20" s="109"/>
      <c r="D20" s="90" t="s">
        <v>51</v>
      </c>
      <c r="E20" s="109"/>
      <c r="Q20" s="96">
        <f t="shared" si="0"/>
        <v>0</v>
      </c>
      <c r="R20" s="96" t="s">
        <v>268</v>
      </c>
      <c r="S20" s="96">
        <f t="shared" si="1"/>
        <v>0</v>
      </c>
      <c r="T20" s="96" t="s">
        <v>59</v>
      </c>
      <c r="U20" s="24">
        <f>SUMIF(PLANTAS[1º ETAPA],V20,PLANTAS[CANT])</f>
        <v>0</v>
      </c>
      <c r="V20" s="24" t="s">
        <v>34</v>
      </c>
    </row>
    <row r="21" spans="1:22" x14ac:dyDescent="0.3">
      <c r="A21" s="32">
        <f t="shared" si="2"/>
        <v>18</v>
      </c>
      <c r="B21" s="79" t="s">
        <v>246</v>
      </c>
      <c r="C21" s="109"/>
      <c r="D21" s="86" t="s">
        <v>51</v>
      </c>
      <c r="E21" s="109"/>
      <c r="Q21" s="24">
        <f t="shared" si="0"/>
        <v>4</v>
      </c>
      <c r="R21" s="19" t="s">
        <v>252</v>
      </c>
      <c r="S21" s="24">
        <f t="shared" si="1"/>
        <v>2</v>
      </c>
      <c r="T21" s="75" t="s">
        <v>66</v>
      </c>
      <c r="U21" s="96">
        <f>SUMIF(PLANTAS[1º ETAPA],V21,PLANTAS[CANT])</f>
        <v>0</v>
      </c>
      <c r="V21" s="96" t="s">
        <v>268</v>
      </c>
    </row>
    <row r="22" spans="1:22" x14ac:dyDescent="0.3">
      <c r="A22" s="89">
        <f t="shared" si="2"/>
        <v>19</v>
      </c>
      <c r="B22" s="92" t="s">
        <v>41</v>
      </c>
      <c r="C22" s="109"/>
      <c r="D22" s="90" t="s">
        <v>34</v>
      </c>
      <c r="E22" s="109"/>
      <c r="Q22" s="96">
        <f t="shared" si="0"/>
        <v>6</v>
      </c>
      <c r="R22" s="104" t="s">
        <v>78</v>
      </c>
      <c r="S22" s="96">
        <f t="shared" si="1"/>
        <v>0</v>
      </c>
      <c r="T22" s="100" t="s">
        <v>47</v>
      </c>
      <c r="U22" s="24">
        <f>SUMIF(PLANTAS[1º ETAPA],V22,PLANTAS[CANT])</f>
        <v>4</v>
      </c>
      <c r="V22" s="19" t="s">
        <v>252</v>
      </c>
    </row>
    <row r="23" spans="1:22" x14ac:dyDescent="0.3">
      <c r="A23" s="32">
        <f t="shared" si="2"/>
        <v>20</v>
      </c>
      <c r="B23" s="90" t="s">
        <v>41</v>
      </c>
      <c r="C23" s="113"/>
      <c r="D23" s="79" t="s">
        <v>34</v>
      </c>
      <c r="E23" s="109"/>
      <c r="Q23" s="24">
        <f t="shared" si="0"/>
        <v>4</v>
      </c>
      <c r="R23" s="24" t="s">
        <v>272</v>
      </c>
      <c r="S23" s="24">
        <f t="shared" si="1"/>
        <v>1</v>
      </c>
      <c r="T23" s="24" t="s">
        <v>69</v>
      </c>
      <c r="U23" s="96">
        <f>SUMIF(PLANTAS[1º ETAPA],V23,PLANTAS[CANT])</f>
        <v>2</v>
      </c>
      <c r="V23" s="108" t="s">
        <v>78</v>
      </c>
    </row>
    <row r="24" spans="1:22" x14ac:dyDescent="0.3">
      <c r="A24" s="89">
        <f t="shared" si="2"/>
        <v>21</v>
      </c>
      <c r="B24" s="79" t="s">
        <v>41</v>
      </c>
      <c r="C24" s="113"/>
      <c r="D24" s="25"/>
      <c r="E24" s="113"/>
      <c r="Q24" s="96">
        <f t="shared" si="0"/>
        <v>4</v>
      </c>
      <c r="R24" s="103" t="s">
        <v>246</v>
      </c>
      <c r="S24" s="105">
        <f>SUM(S4:S23)</f>
        <v>19</v>
      </c>
      <c r="T24" s="105" t="s">
        <v>76</v>
      </c>
      <c r="U24" s="24">
        <f>SUMIF(PLANTAS[1º ETAPA],V24,PLANTAS[CANT])</f>
        <v>4</v>
      </c>
      <c r="V24" s="24" t="s">
        <v>272</v>
      </c>
    </row>
    <row r="25" spans="1:22" x14ac:dyDescent="0.3">
      <c r="A25" s="32">
        <f t="shared" si="2"/>
        <v>22</v>
      </c>
      <c r="B25" s="92" t="s">
        <v>303</v>
      </c>
      <c r="C25" s="109"/>
      <c r="D25" s="92" t="s">
        <v>304</v>
      </c>
      <c r="E25" s="109"/>
      <c r="Q25" s="24">
        <f t="shared" si="0"/>
        <v>8</v>
      </c>
      <c r="R25" s="14" t="s">
        <v>41</v>
      </c>
      <c r="U25" s="96">
        <f>SUMIF(PLANTAS[1º ETAPA],V25,PLANTAS[CANT])</f>
        <v>4</v>
      </c>
      <c r="V25" s="103" t="s">
        <v>246</v>
      </c>
    </row>
    <row r="26" spans="1:22" x14ac:dyDescent="0.3">
      <c r="A26" s="89">
        <f t="shared" si="2"/>
        <v>23</v>
      </c>
      <c r="B26" s="111" t="s">
        <v>37</v>
      </c>
      <c r="C26" s="109"/>
      <c r="D26" s="90" t="s">
        <v>305</v>
      </c>
      <c r="E26" s="109"/>
      <c r="Q26" s="105">
        <f>SUM(Q4:Q25)</f>
        <v>99</v>
      </c>
      <c r="R26" s="105" t="s">
        <v>76</v>
      </c>
      <c r="U26" s="24">
        <f>SUMIF(PLANTAS[1º ETAPA],V26,PLANTAS[CANT])</f>
        <v>0</v>
      </c>
      <c r="V26" s="24" t="s">
        <v>41</v>
      </c>
    </row>
    <row r="27" spans="1:22" x14ac:dyDescent="0.3">
      <c r="A27" s="32">
        <f t="shared" si="2"/>
        <v>24</v>
      </c>
      <c r="B27" s="90" t="s">
        <v>306</v>
      </c>
      <c r="C27" s="109"/>
      <c r="D27" s="90" t="s">
        <v>35</v>
      </c>
      <c r="E27" s="109"/>
      <c r="U27" s="105"/>
      <c r="V27" s="105"/>
    </row>
    <row r="28" spans="1:22" x14ac:dyDescent="0.3">
      <c r="A28" s="89">
        <f t="shared" si="2"/>
        <v>25</v>
      </c>
      <c r="B28" s="86" t="s">
        <v>42</v>
      </c>
      <c r="C28" s="109">
        <v>180.6</v>
      </c>
      <c r="D28" s="90" t="s">
        <v>35</v>
      </c>
      <c r="E28" s="109">
        <v>180.6</v>
      </c>
      <c r="U28" s="103">
        <f>SUMIF(REFUELLERS[2º ETAPA],V28,REFUELLERS[[CANT ]])</f>
        <v>0</v>
      </c>
      <c r="V28" s="102" t="s">
        <v>29</v>
      </c>
    </row>
    <row r="29" spans="1:22" x14ac:dyDescent="0.3">
      <c r="A29" s="32">
        <f t="shared" si="2"/>
        <v>26</v>
      </c>
      <c r="B29" s="111" t="s">
        <v>255</v>
      </c>
      <c r="C29" s="113"/>
      <c r="D29" s="25"/>
      <c r="E29" s="113"/>
      <c r="U29" s="14">
        <f>SUMIF(REFUELLERS[2º ETAPA],V29,REFUELLERS[[CANT ]])</f>
        <v>1</v>
      </c>
      <c r="V29" s="81" t="s">
        <v>37</v>
      </c>
    </row>
    <row r="30" spans="1:22" x14ac:dyDescent="0.3">
      <c r="A30" s="89">
        <f t="shared" si="2"/>
        <v>27</v>
      </c>
      <c r="B30" s="111" t="s">
        <v>256</v>
      </c>
      <c r="C30" s="109">
        <v>180.6</v>
      </c>
      <c r="D30" s="90" t="s">
        <v>307</v>
      </c>
      <c r="E30" s="109">
        <v>180.6</v>
      </c>
      <c r="U30" s="103">
        <f>SUMIF(REFUELLERS[2º ETAPA],V30,REFUELLERS[[CANT ]])</f>
        <v>2</v>
      </c>
      <c r="V30" s="102" t="s">
        <v>42</v>
      </c>
    </row>
    <row r="31" spans="1:22" x14ac:dyDescent="0.3">
      <c r="A31" s="32">
        <f t="shared" si="2"/>
        <v>28</v>
      </c>
      <c r="B31" s="86" t="s">
        <v>247</v>
      </c>
      <c r="C31" s="109">
        <v>180.6</v>
      </c>
      <c r="D31" s="92" t="s">
        <v>308</v>
      </c>
      <c r="E31" s="109">
        <v>180.6</v>
      </c>
      <c r="U31" s="14">
        <f>SUMIF(REFUELLERS[2º ETAPA],V31,REFUELLERS[[CANT ]])</f>
        <v>1</v>
      </c>
      <c r="V31" s="75" t="s">
        <v>48</v>
      </c>
    </row>
    <row r="32" spans="1:22" x14ac:dyDescent="0.3">
      <c r="A32" s="89">
        <f t="shared" si="2"/>
        <v>29</v>
      </c>
      <c r="B32" s="90" t="s">
        <v>309</v>
      </c>
      <c r="C32" s="109">
        <v>180.6</v>
      </c>
      <c r="D32" s="90" t="s">
        <v>310</v>
      </c>
      <c r="E32" s="109">
        <v>180.6</v>
      </c>
      <c r="U32" s="103">
        <f>SUMIF(REFUELLERS[2º ETAPA],V32,REFUELLERS[[CANT ]])</f>
        <v>1</v>
      </c>
      <c r="V32" s="99" t="s">
        <v>52</v>
      </c>
    </row>
    <row r="33" spans="1:22" x14ac:dyDescent="0.3">
      <c r="A33" s="32">
        <f t="shared" si="2"/>
        <v>30</v>
      </c>
      <c r="B33" s="86" t="s">
        <v>263</v>
      </c>
      <c r="C33" s="109">
        <v>180.6</v>
      </c>
      <c r="D33" s="90" t="s">
        <v>311</v>
      </c>
      <c r="E33" s="109">
        <v>180.6</v>
      </c>
      <c r="U33" s="14">
        <f>SUMIF(REFUELLERS[2º ETAPA],V33,REFUELLERS[[CANT ]])</f>
        <v>8</v>
      </c>
      <c r="V33" s="81" t="s">
        <v>35</v>
      </c>
    </row>
    <row r="34" spans="1:22" x14ac:dyDescent="0.3">
      <c r="A34" s="89">
        <f t="shared" si="2"/>
        <v>31</v>
      </c>
      <c r="B34" s="90" t="s">
        <v>265</v>
      </c>
      <c r="C34" s="109">
        <v>180.6</v>
      </c>
      <c r="D34" s="90" t="s">
        <v>312</v>
      </c>
      <c r="E34" s="109">
        <v>180.6</v>
      </c>
      <c r="U34" s="103">
        <f>SUMIF(REFUELLERS[2º ETAPA],V34,REFUELLERS[[CANT ]])</f>
        <v>0</v>
      </c>
      <c r="V34" s="96" t="s">
        <v>59</v>
      </c>
    </row>
    <row r="35" spans="1:22" x14ac:dyDescent="0.3">
      <c r="A35" s="32">
        <f t="shared" si="2"/>
        <v>32</v>
      </c>
      <c r="B35" s="86" t="s">
        <v>265</v>
      </c>
      <c r="C35" s="109">
        <v>180.6</v>
      </c>
      <c r="D35" s="90" t="s">
        <v>312</v>
      </c>
      <c r="E35" s="109">
        <v>180.6</v>
      </c>
      <c r="U35" s="14">
        <f>SUMIF(REFUELLERS[2º ETAPA],V35,REFUELLERS[[CANT ]])</f>
        <v>2</v>
      </c>
      <c r="V35" s="75" t="s">
        <v>66</v>
      </c>
    </row>
    <row r="36" spans="1:22" x14ac:dyDescent="0.3">
      <c r="A36" s="89">
        <f t="shared" si="2"/>
        <v>33</v>
      </c>
      <c r="B36" s="90" t="s">
        <v>48</v>
      </c>
      <c r="C36" s="109">
        <v>180.6</v>
      </c>
      <c r="D36" s="90" t="s">
        <v>72</v>
      </c>
      <c r="E36" s="109">
        <v>180.6</v>
      </c>
      <c r="U36" s="103">
        <f>SUMIF(REFUELLERS[2º ETAPA],V36,REFUELLERS[[CANT ]])</f>
        <v>0</v>
      </c>
      <c r="V36" s="100" t="s">
        <v>47</v>
      </c>
    </row>
    <row r="37" spans="1:22" x14ac:dyDescent="0.3">
      <c r="A37" s="32">
        <f t="shared" si="2"/>
        <v>34</v>
      </c>
      <c r="B37" s="86" t="s">
        <v>48</v>
      </c>
      <c r="C37" s="113"/>
      <c r="D37" s="25"/>
      <c r="E37" s="113"/>
      <c r="U37" s="14">
        <f>SUMIF(REFUELLERS[2º ETAPA],V37,REFUELLERS[[CANT ]])</f>
        <v>1</v>
      </c>
      <c r="V37" s="24" t="s">
        <v>69</v>
      </c>
    </row>
    <row r="38" spans="1:22" x14ac:dyDescent="0.3">
      <c r="A38" s="89">
        <f t="shared" si="2"/>
        <v>35</v>
      </c>
      <c r="B38" s="92" t="s">
        <v>253</v>
      </c>
      <c r="C38" s="109">
        <v>180.6</v>
      </c>
      <c r="D38" s="92" t="s">
        <v>313</v>
      </c>
      <c r="E38" s="109">
        <v>180.6</v>
      </c>
      <c r="U38" s="103">
        <f>SUMIF(PLANTAS[2º ETAPA],V38,PLANTAS[[CANT ]])</f>
        <v>0</v>
      </c>
      <c r="V38" s="102" t="s">
        <v>249</v>
      </c>
    </row>
    <row r="39" spans="1:22" x14ac:dyDescent="0.3">
      <c r="A39" s="32">
        <f t="shared" si="2"/>
        <v>36</v>
      </c>
      <c r="B39" s="86" t="s">
        <v>253</v>
      </c>
      <c r="C39" s="113"/>
      <c r="D39" s="25"/>
      <c r="E39" s="113"/>
      <c r="U39" s="14">
        <f>SUMIF(PLANTAS[2º ETAPA],V39,PLANTAS[[CANT ]])</f>
        <v>1</v>
      </c>
      <c r="V39" s="81" t="s">
        <v>255</v>
      </c>
    </row>
    <row r="40" spans="1:22" x14ac:dyDescent="0.3">
      <c r="A40" s="89">
        <f t="shared" si="2"/>
        <v>37</v>
      </c>
      <c r="B40" s="86" t="s">
        <v>271</v>
      </c>
      <c r="C40" s="25"/>
      <c r="D40" s="25"/>
      <c r="E40" s="25"/>
      <c r="U40" s="103">
        <f>SUMIF(PLANTAS[2º ETAPA],V40,PLANTAS[[CANT ]])</f>
        <v>0</v>
      </c>
      <c r="V40" s="107" t="s">
        <v>256</v>
      </c>
    </row>
    <row r="41" spans="1:22" x14ac:dyDescent="0.3">
      <c r="A41" s="32">
        <f t="shared" si="2"/>
        <v>38</v>
      </c>
      <c r="B41" s="86" t="s">
        <v>264</v>
      </c>
      <c r="C41" s="114">
        <v>180.6</v>
      </c>
      <c r="D41" s="90" t="s">
        <v>69</v>
      </c>
      <c r="E41" s="114">
        <v>180.6</v>
      </c>
      <c r="U41" s="14">
        <f>SUMIF(PLANTAS[2º ETAPA],V41,PLANTAS[[CANT ]])</f>
        <v>2</v>
      </c>
      <c r="V41" s="24" t="s">
        <v>247</v>
      </c>
    </row>
    <row r="42" spans="1:22" x14ac:dyDescent="0.3">
      <c r="A42" s="89">
        <f t="shared" si="2"/>
        <v>39</v>
      </c>
      <c r="B42" s="86" t="s">
        <v>273</v>
      </c>
      <c r="C42" s="114">
        <v>180.6</v>
      </c>
      <c r="D42" s="86" t="s">
        <v>69</v>
      </c>
      <c r="E42" s="114">
        <v>180.6</v>
      </c>
      <c r="U42" s="103">
        <f>SUMIF(PLANTAS[2º ETAPA],V42,PLANTAS[[CANT ]])</f>
        <v>0</v>
      </c>
      <c r="V42" s="102" t="s">
        <v>263</v>
      </c>
    </row>
    <row r="43" spans="1:22" x14ac:dyDescent="0.3">
      <c r="B43" s="90" t="s">
        <v>314</v>
      </c>
      <c r="C43" s="114">
        <v>180.6</v>
      </c>
      <c r="D43" s="90" t="s">
        <v>35</v>
      </c>
      <c r="E43" s="114">
        <v>180.6</v>
      </c>
    </row>
    <row r="44" spans="1:22" x14ac:dyDescent="0.3">
      <c r="B44" s="92" t="s">
        <v>315</v>
      </c>
      <c r="C44" s="114">
        <v>180.6</v>
      </c>
      <c r="D44" s="92" t="s">
        <v>35</v>
      </c>
      <c r="E44" s="114">
        <v>180.6</v>
      </c>
    </row>
    <row r="45" spans="1:22" x14ac:dyDescent="0.3">
      <c r="B45" s="90" t="s">
        <v>316</v>
      </c>
      <c r="C45" s="114">
        <v>180.6</v>
      </c>
      <c r="D45" s="111" t="s">
        <v>35</v>
      </c>
      <c r="E45" s="114">
        <v>180.6</v>
      </c>
    </row>
    <row r="46" spans="1:22" x14ac:dyDescent="0.3">
      <c r="B46" s="115"/>
      <c r="C46" s="25"/>
      <c r="D46" s="93" t="s">
        <v>36</v>
      </c>
      <c r="E46" s="25"/>
    </row>
    <row r="47" spans="1:22" x14ac:dyDescent="0.3">
      <c r="B47" s="115"/>
      <c r="C47" s="25"/>
      <c r="D47" s="25"/>
      <c r="E47" s="25"/>
    </row>
    <row r="48" spans="1:22" x14ac:dyDescent="0.3">
      <c r="B48" s="90"/>
      <c r="C48" s="114"/>
      <c r="D48" s="90" t="s">
        <v>34</v>
      </c>
      <c r="E48" s="114"/>
    </row>
    <row r="49" spans="2:5" x14ac:dyDescent="0.3">
      <c r="B49" s="115"/>
      <c r="C49" s="25"/>
      <c r="D49" s="79" t="s">
        <v>65</v>
      </c>
      <c r="E49" s="25"/>
    </row>
    <row r="50" spans="2:5" x14ac:dyDescent="0.3">
      <c r="B50" s="90"/>
      <c r="C50" s="114"/>
      <c r="D50" s="90" t="s">
        <v>301</v>
      </c>
      <c r="E50" s="114"/>
    </row>
    <row r="51" spans="2:5" x14ac:dyDescent="0.3">
      <c r="B51" s="115"/>
      <c r="C51" s="25"/>
      <c r="D51" s="98" t="s">
        <v>57</v>
      </c>
      <c r="E51" s="25"/>
    </row>
    <row r="52" spans="2:5" x14ac:dyDescent="0.3">
      <c r="B52" s="115"/>
      <c r="C52" s="25"/>
      <c r="D52" s="79" t="s">
        <v>26</v>
      </c>
      <c r="E52" s="25"/>
    </row>
    <row r="53" spans="2:5" x14ac:dyDescent="0.3">
      <c r="B53" s="115"/>
      <c r="C53" s="25"/>
      <c r="D53" s="86" t="s">
        <v>75</v>
      </c>
      <c r="E53" s="25"/>
    </row>
    <row r="54" spans="2:5" x14ac:dyDescent="0.3">
      <c r="B54" s="115"/>
      <c r="C54" s="25"/>
      <c r="D54" s="86" t="s">
        <v>29</v>
      </c>
      <c r="E54" s="25"/>
    </row>
    <row r="55" spans="2:5" x14ac:dyDescent="0.3">
      <c r="B55" s="115"/>
      <c r="C55" s="25"/>
      <c r="D55" s="86" t="s">
        <v>52</v>
      </c>
      <c r="E55" s="25"/>
    </row>
    <row r="56" spans="2:5" x14ac:dyDescent="0.3">
      <c r="B56" s="115"/>
      <c r="C56" s="25"/>
      <c r="D56" s="86" t="s">
        <v>59</v>
      </c>
      <c r="E56" s="25"/>
    </row>
    <row r="57" spans="2:5" x14ac:dyDescent="0.3">
      <c r="B57" s="115"/>
      <c r="C57" s="114">
        <v>180.6</v>
      </c>
      <c r="D57" s="90" t="s">
        <v>66</v>
      </c>
      <c r="E57" s="114">
        <v>180.6</v>
      </c>
    </row>
    <row r="58" spans="2:5" x14ac:dyDescent="0.3">
      <c r="B58" s="115"/>
      <c r="C58" s="25"/>
      <c r="D58" s="86" t="s">
        <v>66</v>
      </c>
      <c r="E58" s="25"/>
    </row>
    <row r="59" spans="2:5" x14ac:dyDescent="0.3">
      <c r="B59" s="115"/>
      <c r="C59" s="25"/>
      <c r="D59" s="86" t="s">
        <v>47</v>
      </c>
      <c r="E59" s="25"/>
    </row>
    <row r="60" spans="2:5" x14ac:dyDescent="0.3">
      <c r="B60" s="115"/>
      <c r="C60" s="25"/>
      <c r="D60" s="25"/>
      <c r="E60" s="25"/>
    </row>
    <row r="61" spans="2:5" x14ac:dyDescent="0.3">
      <c r="B61" s="115"/>
      <c r="C61" s="25"/>
      <c r="D61" s="25"/>
      <c r="E61" s="25"/>
    </row>
    <row r="62" spans="2:5" x14ac:dyDescent="0.3">
      <c r="B62" s="115"/>
      <c r="C62" s="25"/>
      <c r="D62" s="25"/>
      <c r="E62" s="25"/>
    </row>
    <row r="63" spans="2:5" x14ac:dyDescent="0.3">
      <c r="B63" s="115"/>
      <c r="C63" s="25"/>
      <c r="D63" s="25"/>
      <c r="E63" s="25"/>
    </row>
    <row r="64" spans="2:5" x14ac:dyDescent="0.3">
      <c r="B64" s="115"/>
      <c r="C64" s="25"/>
      <c r="D64" s="25"/>
      <c r="E64" s="25"/>
    </row>
    <row r="65" spans="2:5" x14ac:dyDescent="0.3">
      <c r="B65" s="86"/>
      <c r="C65" s="25"/>
      <c r="D65" s="25"/>
      <c r="E65" s="25"/>
    </row>
    <row r="66" spans="2:5" x14ac:dyDescent="0.3">
      <c r="B66" s="86"/>
      <c r="C66" s="25"/>
      <c r="D66" s="25"/>
      <c r="E66" s="25"/>
    </row>
    <row r="67" spans="2:5" x14ac:dyDescent="0.3">
      <c r="B67" s="115"/>
      <c r="C67" s="25"/>
      <c r="D67" s="25"/>
      <c r="E67" s="25"/>
    </row>
    <row r="68" spans="2:5" x14ac:dyDescent="0.3">
      <c r="B68" s="115"/>
      <c r="C68" s="25"/>
      <c r="D68" s="25"/>
      <c r="E68" s="25"/>
    </row>
    <row r="69" spans="2:5" x14ac:dyDescent="0.3">
      <c r="B69" s="115"/>
      <c r="C69" s="25"/>
      <c r="D69" s="25"/>
      <c r="E69" s="25"/>
    </row>
    <row r="70" spans="2:5" x14ac:dyDescent="0.3">
      <c r="B70" s="115"/>
      <c r="C70" s="25"/>
      <c r="D70" s="25"/>
      <c r="E70" s="25"/>
    </row>
    <row r="71" spans="2:5" x14ac:dyDescent="0.3">
      <c r="B71" s="115"/>
      <c r="C71" s="25"/>
      <c r="D71" s="25"/>
      <c r="E71" s="25"/>
    </row>
    <row r="72" spans="2:5" x14ac:dyDescent="0.3">
      <c r="B72" s="115"/>
      <c r="C72" s="25"/>
      <c r="D72" s="25"/>
      <c r="E72" s="25"/>
    </row>
    <row r="73" spans="2:5" x14ac:dyDescent="0.3">
      <c r="B73" s="115"/>
      <c r="C73" s="25"/>
      <c r="D73" s="25"/>
      <c r="E73" s="25"/>
    </row>
    <row r="74" spans="2:5" x14ac:dyDescent="0.3">
      <c r="B74" s="115"/>
      <c r="C74" s="25"/>
      <c r="D74" s="25"/>
      <c r="E74" s="25"/>
    </row>
    <row r="75" spans="2:5" x14ac:dyDescent="0.3">
      <c r="B75" s="115"/>
      <c r="C75" s="25"/>
      <c r="D75" s="25"/>
      <c r="E75" s="25"/>
    </row>
    <row r="76" spans="2:5" x14ac:dyDescent="0.3">
      <c r="B76" s="115"/>
      <c r="C76" s="25"/>
      <c r="D76" s="25"/>
      <c r="E76" s="25"/>
    </row>
    <row r="77" spans="2:5" x14ac:dyDescent="0.3">
      <c r="B77" s="115"/>
      <c r="C77" s="25"/>
      <c r="D77" s="25"/>
      <c r="E77" s="25"/>
    </row>
    <row r="78" spans="2:5" x14ac:dyDescent="0.3">
      <c r="B78" s="115"/>
      <c r="C78" s="25"/>
      <c r="D78" s="25"/>
      <c r="E78" s="25"/>
    </row>
    <row r="79" spans="2:5" x14ac:dyDescent="0.3">
      <c r="B79" s="115"/>
      <c r="C79" s="25"/>
      <c r="D79" s="25"/>
      <c r="E79" s="25"/>
    </row>
    <row r="80" spans="2:5" x14ac:dyDescent="0.3">
      <c r="B80" s="86"/>
      <c r="C80" s="25"/>
      <c r="D80" s="25"/>
      <c r="E80" s="25"/>
    </row>
    <row r="81" spans="2:5" x14ac:dyDescent="0.3">
      <c r="B81" s="95"/>
      <c r="C81" s="72"/>
      <c r="D81" s="72"/>
      <c r="E81" s="72"/>
    </row>
  </sheetData>
  <mergeCells count="8">
    <mergeCell ref="Q1:T1"/>
    <mergeCell ref="Q2:T2"/>
    <mergeCell ref="A1:E1"/>
    <mergeCell ref="A2:E2"/>
    <mergeCell ref="G2:J2"/>
    <mergeCell ref="G1:J1"/>
    <mergeCell ref="L2:O2"/>
    <mergeCell ref="L1:O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DD0D-3EF9-474B-8297-8A6D100D1BC0}">
  <sheetPr codeName="Hoja8"/>
  <dimension ref="A1:Y63"/>
  <sheetViews>
    <sheetView topLeftCell="A3" zoomScale="85" zoomScaleNormal="85" workbookViewId="0">
      <selection activeCell="T10" sqref="T10"/>
    </sheetView>
  </sheetViews>
  <sheetFormatPr baseColWidth="10" defaultColWidth="10.85546875" defaultRowHeight="16.5" x14ac:dyDescent="0.25"/>
  <cols>
    <col min="1" max="1" width="4.7109375" style="39" customWidth="1"/>
    <col min="2" max="2" width="7" style="3" customWidth="1"/>
    <col min="3" max="3" width="11.5703125" style="5" customWidth="1"/>
    <col min="4" max="4" width="9" style="5" customWidth="1"/>
    <col min="5" max="5" width="7.7109375" style="40" customWidth="1"/>
    <col min="6" max="7" width="11.140625" style="33" customWidth="1"/>
    <col min="8" max="8" width="15.42578125" style="33" customWidth="1"/>
    <col min="9" max="9" width="11.5703125" style="33" customWidth="1"/>
    <col min="10" max="10" width="9.28515625" style="36" customWidth="1"/>
    <col min="11" max="11" width="7.7109375" style="33" customWidth="1"/>
    <col min="12" max="12" width="12.7109375" style="6" customWidth="1"/>
    <col min="13" max="13" width="7.7109375" style="6" customWidth="1"/>
    <col min="14" max="14" width="12.7109375" style="6" customWidth="1"/>
    <col min="15" max="15" width="11.140625" style="6" customWidth="1"/>
    <col min="16" max="16" width="11" style="5" customWidth="1"/>
    <col min="17" max="17" width="8.140625" style="33" customWidth="1"/>
    <col min="18" max="19" width="8.7109375" style="33" customWidth="1"/>
    <col min="20" max="20" width="13.28515625" style="33" customWidth="1"/>
    <col min="21" max="22" width="12.140625" style="33" customWidth="1"/>
    <col min="23" max="24" width="9.28515625" style="33" customWidth="1"/>
    <col min="25" max="25" width="22.7109375" style="5" customWidth="1"/>
    <col min="26" max="26" width="10.85546875" style="33"/>
    <col min="27" max="27" width="14.85546875" style="33" customWidth="1"/>
    <col min="28" max="28" width="12.7109375" style="33" customWidth="1"/>
    <col min="29" max="29" width="10.85546875" style="33"/>
    <col min="30" max="30" width="15.5703125" style="33" customWidth="1"/>
    <col min="31" max="16384" width="10.85546875" style="33"/>
  </cols>
  <sheetData>
    <row r="1" spans="1:25" s="3" customFormat="1" ht="21" customHeight="1" x14ac:dyDescent="0.25">
      <c r="A1" s="416" t="s">
        <v>129</v>
      </c>
      <c r="B1" s="417"/>
      <c r="C1" s="417"/>
      <c r="D1" s="422"/>
      <c r="E1" s="418"/>
      <c r="F1" s="416" t="s">
        <v>130</v>
      </c>
      <c r="G1" s="417"/>
      <c r="H1" s="417"/>
      <c r="I1" s="418"/>
      <c r="J1" s="424" t="s">
        <v>131</v>
      </c>
      <c r="K1" s="425"/>
      <c r="L1" s="425"/>
      <c r="M1" s="425"/>
      <c r="N1" s="425"/>
      <c r="O1" s="427" t="s">
        <v>132</v>
      </c>
      <c r="P1" s="429" t="s">
        <v>133</v>
      </c>
      <c r="Q1" s="430"/>
      <c r="R1" s="431"/>
      <c r="S1" s="431"/>
      <c r="T1" s="431"/>
      <c r="U1" s="431"/>
      <c r="V1" s="431"/>
      <c r="W1" s="431"/>
      <c r="X1" s="431"/>
      <c r="Y1" s="432"/>
    </row>
    <row r="2" spans="1:25" s="3" customFormat="1" ht="21" customHeight="1" x14ac:dyDescent="0.25">
      <c r="A2" s="419"/>
      <c r="B2" s="420"/>
      <c r="C2" s="420"/>
      <c r="D2" s="423"/>
      <c r="E2" s="421"/>
      <c r="F2" s="419"/>
      <c r="G2" s="420"/>
      <c r="H2" s="420"/>
      <c r="I2" s="421"/>
      <c r="J2" s="426"/>
      <c r="K2" s="415"/>
      <c r="L2" s="415"/>
      <c r="M2" s="415"/>
      <c r="N2" s="415"/>
      <c r="O2" s="428"/>
      <c r="P2" s="63" t="s">
        <v>134</v>
      </c>
      <c r="Q2" s="67"/>
      <c r="R2" s="414" t="s">
        <v>135</v>
      </c>
      <c r="S2" s="414"/>
      <c r="T2" s="64" t="s">
        <v>136</v>
      </c>
      <c r="U2" s="414" t="s">
        <v>137</v>
      </c>
      <c r="V2" s="414"/>
      <c r="W2" s="414" t="s">
        <v>138</v>
      </c>
      <c r="X2" s="414"/>
      <c r="Y2" s="66"/>
    </row>
    <row r="3" spans="1:25" s="38" customFormat="1" ht="33" customHeight="1" x14ac:dyDescent="0.25">
      <c r="A3" s="52" t="s">
        <v>3</v>
      </c>
      <c r="B3" s="50" t="s">
        <v>6</v>
      </c>
      <c r="C3" s="42" t="s">
        <v>139</v>
      </c>
      <c r="D3" s="88" t="s">
        <v>8</v>
      </c>
      <c r="E3" s="53" t="s">
        <v>140</v>
      </c>
      <c r="F3" s="57" t="s">
        <v>9</v>
      </c>
      <c r="G3" s="42" t="s">
        <v>141</v>
      </c>
      <c r="H3" s="42" t="s">
        <v>142</v>
      </c>
      <c r="I3" s="58" t="s">
        <v>143</v>
      </c>
      <c r="J3" s="57" t="s">
        <v>11</v>
      </c>
      <c r="K3" s="42" t="s">
        <v>144</v>
      </c>
      <c r="L3" s="42" t="s">
        <v>145</v>
      </c>
      <c r="M3" s="42" t="s">
        <v>146</v>
      </c>
      <c r="N3" s="42" t="s">
        <v>147</v>
      </c>
      <c r="O3" s="58" t="s">
        <v>148</v>
      </c>
      <c r="P3" s="50" t="s">
        <v>149</v>
      </c>
      <c r="Q3" s="42" t="s">
        <v>150</v>
      </c>
      <c r="R3" s="42" t="s">
        <v>151</v>
      </c>
      <c r="S3" s="42" t="s">
        <v>152</v>
      </c>
      <c r="T3" s="42" t="s">
        <v>153</v>
      </c>
      <c r="U3" s="42" t="s">
        <v>154</v>
      </c>
      <c r="V3" s="42" t="s">
        <v>155</v>
      </c>
      <c r="W3" s="42" t="s">
        <v>156</v>
      </c>
      <c r="X3" s="42" t="s">
        <v>157</v>
      </c>
      <c r="Y3" s="43" t="s">
        <v>158</v>
      </c>
    </row>
    <row r="4" spans="1:25" ht="21" customHeight="1" x14ac:dyDescent="0.25">
      <c r="A4" s="47">
        <v>1</v>
      </c>
      <c r="B4" s="82" t="s">
        <v>159</v>
      </c>
      <c r="C4" s="83" t="s">
        <v>22</v>
      </c>
      <c r="D4" s="27">
        <v>2008</v>
      </c>
      <c r="E4" s="54">
        <v>1360</v>
      </c>
      <c r="F4" s="10" t="s">
        <v>23</v>
      </c>
      <c r="G4" s="11" t="s">
        <v>24</v>
      </c>
      <c r="H4" s="14" t="s">
        <v>160</v>
      </c>
      <c r="I4" s="13" t="s">
        <v>27</v>
      </c>
      <c r="J4" s="12" t="s">
        <v>25</v>
      </c>
      <c r="K4" s="24">
        <v>2</v>
      </c>
      <c r="L4" s="28" t="s">
        <v>26</v>
      </c>
      <c r="M4" s="24" t="s">
        <v>27</v>
      </c>
      <c r="N4" s="70" t="s">
        <v>27</v>
      </c>
      <c r="O4" s="59"/>
      <c r="P4" s="22">
        <v>80</v>
      </c>
      <c r="Q4" s="14" t="s">
        <v>161</v>
      </c>
      <c r="R4" s="14" t="s">
        <v>162</v>
      </c>
      <c r="S4" s="14"/>
      <c r="T4" s="14">
        <v>1</v>
      </c>
      <c r="U4" s="14">
        <v>16</v>
      </c>
      <c r="V4" s="14">
        <v>36</v>
      </c>
      <c r="W4" s="14" t="s">
        <v>163</v>
      </c>
      <c r="X4" s="14" t="s">
        <v>163</v>
      </c>
      <c r="Y4" s="44"/>
    </row>
    <row r="5" spans="1:25" s="3" customFormat="1" ht="21" customHeight="1" x14ac:dyDescent="0.25">
      <c r="A5" s="48">
        <v>2</v>
      </c>
      <c r="B5" s="84" t="s">
        <v>164</v>
      </c>
      <c r="C5" s="85" t="s">
        <v>32</v>
      </c>
      <c r="D5" s="27">
        <v>1998</v>
      </c>
      <c r="E5" s="55">
        <v>4100</v>
      </c>
      <c r="F5" s="12" t="s">
        <v>23</v>
      </c>
      <c r="G5" s="14" t="s">
        <v>24</v>
      </c>
      <c r="H5" s="14" t="s">
        <v>165</v>
      </c>
      <c r="I5" s="13" t="s">
        <v>166</v>
      </c>
      <c r="J5" s="24" t="s">
        <v>25</v>
      </c>
      <c r="K5" s="14">
        <v>3</v>
      </c>
      <c r="L5" s="28" t="s">
        <v>167</v>
      </c>
      <c r="M5" s="14">
        <v>1</v>
      </c>
      <c r="N5" s="78" t="s">
        <v>168</v>
      </c>
      <c r="O5" s="59"/>
      <c r="P5" s="22">
        <v>239</v>
      </c>
      <c r="Q5" s="14" t="s">
        <v>169</v>
      </c>
      <c r="R5" s="14"/>
      <c r="S5" s="14" t="s">
        <v>162</v>
      </c>
      <c r="T5" s="14">
        <v>40</v>
      </c>
      <c r="U5" s="14">
        <v>40</v>
      </c>
      <c r="V5" s="14">
        <v>103</v>
      </c>
      <c r="W5" s="14" t="s">
        <v>170</v>
      </c>
      <c r="X5" s="14" t="s">
        <v>170</v>
      </c>
      <c r="Y5" s="44"/>
    </row>
    <row r="6" spans="1:25" ht="21" customHeight="1" x14ac:dyDescent="0.25">
      <c r="A6" s="47">
        <v>3</v>
      </c>
      <c r="B6" s="84" t="s">
        <v>171</v>
      </c>
      <c r="C6" s="85" t="s">
        <v>39</v>
      </c>
      <c r="D6" s="27">
        <v>2003</v>
      </c>
      <c r="E6" s="55">
        <v>5100</v>
      </c>
      <c r="F6" s="12" t="s">
        <v>23</v>
      </c>
      <c r="G6" s="14" t="s">
        <v>33</v>
      </c>
      <c r="H6" s="14" t="s">
        <v>172</v>
      </c>
      <c r="I6" s="13" t="s">
        <v>27</v>
      </c>
      <c r="J6" s="24" t="s">
        <v>40</v>
      </c>
      <c r="K6" s="24">
        <v>3</v>
      </c>
      <c r="L6" s="28" t="s">
        <v>173</v>
      </c>
      <c r="M6" s="24">
        <v>1</v>
      </c>
      <c r="N6" s="29" t="s">
        <v>174</v>
      </c>
      <c r="O6" s="59"/>
      <c r="P6" s="22">
        <v>200</v>
      </c>
      <c r="Q6" s="14" t="s">
        <v>169</v>
      </c>
      <c r="R6" s="14"/>
      <c r="S6" s="14" t="s">
        <v>162</v>
      </c>
      <c r="T6" s="14">
        <v>35</v>
      </c>
      <c r="U6" s="14">
        <v>42</v>
      </c>
      <c r="V6" s="14">
        <v>105</v>
      </c>
      <c r="W6" s="14" t="s">
        <v>170</v>
      </c>
      <c r="X6" s="14" t="s">
        <v>170</v>
      </c>
      <c r="Y6" s="44"/>
    </row>
    <row r="7" spans="1:25" ht="21" customHeight="1" x14ac:dyDescent="0.25">
      <c r="A7" s="48">
        <v>4</v>
      </c>
      <c r="B7" s="84" t="s">
        <v>175</v>
      </c>
      <c r="C7" s="85" t="s">
        <v>45</v>
      </c>
      <c r="D7" s="27">
        <v>2005</v>
      </c>
      <c r="E7" s="55">
        <v>2265</v>
      </c>
      <c r="F7" s="12" t="s">
        <v>23</v>
      </c>
      <c r="G7" s="14" t="s">
        <v>33</v>
      </c>
      <c r="H7" s="14" t="s">
        <v>176</v>
      </c>
      <c r="I7" s="13" t="s">
        <v>27</v>
      </c>
      <c r="J7" s="24" t="s">
        <v>25</v>
      </c>
      <c r="K7" s="24">
        <v>2</v>
      </c>
      <c r="L7" s="29" t="s">
        <v>46</v>
      </c>
      <c r="M7" s="24">
        <v>1</v>
      </c>
      <c r="N7" s="71" t="s">
        <v>47</v>
      </c>
      <c r="O7" s="59"/>
      <c r="P7" s="22">
        <v>120</v>
      </c>
      <c r="Q7" s="14" t="s">
        <v>169</v>
      </c>
      <c r="R7" s="14"/>
      <c r="S7" s="14" t="s">
        <v>162</v>
      </c>
      <c r="T7" s="14">
        <v>30</v>
      </c>
      <c r="U7" s="14">
        <v>40</v>
      </c>
      <c r="V7" s="14">
        <v>83</v>
      </c>
      <c r="W7" s="14" t="s">
        <v>177</v>
      </c>
      <c r="X7" s="14" t="s">
        <v>177</v>
      </c>
      <c r="Y7" s="44"/>
    </row>
    <row r="8" spans="1:25" ht="21" customHeight="1" x14ac:dyDescent="0.25">
      <c r="A8" s="47">
        <v>5</v>
      </c>
      <c r="B8" s="82" t="s">
        <v>178</v>
      </c>
      <c r="C8" s="83" t="s">
        <v>179</v>
      </c>
      <c r="D8" s="27">
        <v>2006</v>
      </c>
      <c r="E8" s="54">
        <v>3500</v>
      </c>
      <c r="F8" s="16" t="s">
        <v>23</v>
      </c>
      <c r="G8" s="19" t="s">
        <v>33</v>
      </c>
      <c r="H8" s="19" t="s">
        <v>180</v>
      </c>
      <c r="I8" s="17" t="s">
        <v>27</v>
      </c>
      <c r="J8" s="24" t="s">
        <v>25</v>
      </c>
      <c r="K8" s="14">
        <v>3</v>
      </c>
      <c r="L8" s="28" t="s">
        <v>34</v>
      </c>
      <c r="M8" s="14">
        <v>1</v>
      </c>
      <c r="N8" s="69" t="s">
        <v>181</v>
      </c>
      <c r="O8" s="60"/>
      <c r="P8" s="23">
        <v>190</v>
      </c>
      <c r="Q8" s="14" t="s">
        <v>169</v>
      </c>
      <c r="R8" s="14"/>
      <c r="S8" s="14" t="s">
        <v>162</v>
      </c>
      <c r="T8" s="14">
        <v>30</v>
      </c>
      <c r="U8" s="14">
        <v>56</v>
      </c>
      <c r="V8" s="14">
        <v>105</v>
      </c>
      <c r="W8" s="14" t="s">
        <v>170</v>
      </c>
      <c r="X8" s="14" t="s">
        <v>170</v>
      </c>
      <c r="Y8" s="44"/>
    </row>
    <row r="9" spans="1:25" ht="21" customHeight="1" x14ac:dyDescent="0.25">
      <c r="A9" s="48">
        <v>6</v>
      </c>
      <c r="B9" s="82" t="s">
        <v>182</v>
      </c>
      <c r="C9" s="26" t="s">
        <v>56</v>
      </c>
      <c r="D9" s="27">
        <v>1970</v>
      </c>
      <c r="E9" s="54">
        <v>8000</v>
      </c>
      <c r="F9" s="16" t="s">
        <v>23</v>
      </c>
      <c r="G9" s="19" t="s">
        <v>24</v>
      </c>
      <c r="H9" s="19"/>
      <c r="I9" s="17"/>
      <c r="J9" s="24" t="s">
        <v>25</v>
      </c>
      <c r="K9" s="19">
        <v>27</v>
      </c>
      <c r="L9" s="77" t="s">
        <v>57</v>
      </c>
      <c r="M9" s="19" t="s">
        <v>27</v>
      </c>
      <c r="N9" s="78" t="s">
        <v>27</v>
      </c>
      <c r="O9" s="60"/>
      <c r="P9" s="23"/>
      <c r="Q9" s="14" t="s">
        <v>169</v>
      </c>
      <c r="R9" s="14"/>
      <c r="S9" s="14" t="s">
        <v>162</v>
      </c>
      <c r="T9" s="14">
        <v>20</v>
      </c>
      <c r="U9" s="14">
        <v>40</v>
      </c>
      <c r="V9" s="14">
        <v>85</v>
      </c>
      <c r="W9" s="14" t="s">
        <v>177</v>
      </c>
      <c r="X9" s="14" t="s">
        <v>177</v>
      </c>
      <c r="Y9" s="44"/>
    </row>
    <row r="10" spans="1:25" ht="21" customHeight="1" x14ac:dyDescent="0.25">
      <c r="A10" s="47">
        <v>7</v>
      </c>
      <c r="B10" s="84" t="s">
        <v>183</v>
      </c>
      <c r="C10" s="85" t="s">
        <v>58</v>
      </c>
      <c r="D10" s="27">
        <v>2007</v>
      </c>
      <c r="E10" s="55">
        <v>2325</v>
      </c>
      <c r="F10" s="12" t="s">
        <v>23</v>
      </c>
      <c r="G10" s="14" t="s">
        <v>33</v>
      </c>
      <c r="H10" s="14" t="s">
        <v>176</v>
      </c>
      <c r="I10" s="13" t="s">
        <v>184</v>
      </c>
      <c r="J10" s="24" t="s">
        <v>25</v>
      </c>
      <c r="K10" s="24">
        <v>2</v>
      </c>
      <c r="L10" s="29" t="s">
        <v>43</v>
      </c>
      <c r="M10" s="24">
        <v>1</v>
      </c>
      <c r="N10" s="70" t="s">
        <v>59</v>
      </c>
      <c r="O10" s="59"/>
      <c r="P10" s="22">
        <v>120</v>
      </c>
      <c r="Q10" s="14" t="s">
        <v>169</v>
      </c>
      <c r="R10" s="14"/>
      <c r="S10" s="14" t="s">
        <v>162</v>
      </c>
      <c r="T10" s="14">
        <v>30</v>
      </c>
      <c r="U10" s="14">
        <v>39</v>
      </c>
      <c r="V10" s="14">
        <v>102</v>
      </c>
      <c r="W10" s="14" t="s">
        <v>170</v>
      </c>
      <c r="X10" s="14" t="s">
        <v>170</v>
      </c>
      <c r="Y10" s="44"/>
    </row>
    <row r="11" spans="1:25" ht="21" customHeight="1" x14ac:dyDescent="0.25">
      <c r="A11" s="48">
        <v>8</v>
      </c>
      <c r="B11" s="84" t="s">
        <v>185</v>
      </c>
      <c r="C11" s="85" t="s">
        <v>64</v>
      </c>
      <c r="D11" s="27">
        <v>1989</v>
      </c>
      <c r="E11" s="55">
        <v>5000</v>
      </c>
      <c r="F11" s="12" t="s">
        <v>23</v>
      </c>
      <c r="G11" s="14" t="s">
        <v>33</v>
      </c>
      <c r="H11" s="14" t="s">
        <v>186</v>
      </c>
      <c r="I11" s="13" t="s">
        <v>27</v>
      </c>
      <c r="J11" s="24" t="s">
        <v>40</v>
      </c>
      <c r="K11" s="24">
        <v>3</v>
      </c>
      <c r="L11" s="28" t="s">
        <v>173</v>
      </c>
      <c r="M11" s="24">
        <v>1</v>
      </c>
      <c r="N11" s="29" t="s">
        <v>174</v>
      </c>
      <c r="O11" s="59"/>
      <c r="P11" s="22">
        <v>230</v>
      </c>
      <c r="Q11" s="14" t="s">
        <v>169</v>
      </c>
      <c r="R11" s="14" t="s">
        <v>162</v>
      </c>
      <c r="S11" s="14"/>
      <c r="T11" s="14">
        <v>20</v>
      </c>
      <c r="U11" s="14">
        <v>42</v>
      </c>
      <c r="V11" s="14">
        <v>82</v>
      </c>
      <c r="W11" s="14" t="s">
        <v>177</v>
      </c>
      <c r="X11" s="14" t="s">
        <v>177</v>
      </c>
      <c r="Y11" s="44"/>
    </row>
    <row r="12" spans="1:25" ht="21" customHeight="1" x14ac:dyDescent="0.25">
      <c r="A12" s="47">
        <v>9</v>
      </c>
      <c r="B12" s="84" t="s">
        <v>187</v>
      </c>
      <c r="C12" s="85" t="s">
        <v>188</v>
      </c>
      <c r="D12" s="27">
        <v>1996</v>
      </c>
      <c r="E12" s="55">
        <v>3850</v>
      </c>
      <c r="F12" s="12" t="s">
        <v>23</v>
      </c>
      <c r="G12" s="14" t="s">
        <v>33</v>
      </c>
      <c r="H12" s="14" t="s">
        <v>189</v>
      </c>
      <c r="I12" s="13" t="s">
        <v>27</v>
      </c>
      <c r="J12" s="24" t="s">
        <v>25</v>
      </c>
      <c r="K12" s="24">
        <v>2</v>
      </c>
      <c r="L12" s="29" t="s">
        <v>51</v>
      </c>
      <c r="M12" s="24">
        <v>1</v>
      </c>
      <c r="N12" s="29" t="s">
        <v>190</v>
      </c>
      <c r="O12" s="59"/>
      <c r="P12" s="22">
        <v>140</v>
      </c>
      <c r="Q12" s="14"/>
      <c r="R12" s="14"/>
      <c r="S12" s="14"/>
      <c r="T12" s="14"/>
      <c r="U12" s="14"/>
      <c r="V12" s="14"/>
      <c r="W12" s="14"/>
      <c r="X12" s="14"/>
      <c r="Y12" s="44"/>
    </row>
    <row r="13" spans="1:25" ht="21" customHeight="1" x14ac:dyDescent="0.25">
      <c r="A13" s="48">
        <v>10</v>
      </c>
      <c r="B13" s="84" t="s">
        <v>191</v>
      </c>
      <c r="C13" s="85" t="s">
        <v>192</v>
      </c>
      <c r="D13" s="27">
        <v>2006</v>
      </c>
      <c r="E13" s="55">
        <v>2265</v>
      </c>
      <c r="F13" s="12" t="s">
        <v>23</v>
      </c>
      <c r="G13" s="14" t="s">
        <v>33</v>
      </c>
      <c r="H13" s="14" t="s">
        <v>176</v>
      </c>
      <c r="I13" s="13" t="s">
        <v>27</v>
      </c>
      <c r="J13" s="24" t="s">
        <v>25</v>
      </c>
      <c r="K13" s="24">
        <v>2</v>
      </c>
      <c r="L13" s="29" t="s">
        <v>46</v>
      </c>
      <c r="M13" s="24">
        <v>1</v>
      </c>
      <c r="N13" s="70" t="s">
        <v>72</v>
      </c>
      <c r="O13" s="59"/>
      <c r="P13" s="22">
        <v>120</v>
      </c>
      <c r="Q13" s="14" t="s">
        <v>169</v>
      </c>
      <c r="R13" s="14" t="s">
        <v>162</v>
      </c>
      <c r="S13" s="14"/>
      <c r="T13" s="14">
        <v>20</v>
      </c>
      <c r="U13" s="14">
        <v>36</v>
      </c>
      <c r="V13" s="14">
        <v>106</v>
      </c>
      <c r="W13" s="14" t="s">
        <v>193</v>
      </c>
      <c r="X13" s="14" t="s">
        <v>193</v>
      </c>
      <c r="Y13" s="44"/>
    </row>
    <row r="14" spans="1:25" ht="21" customHeight="1" x14ac:dyDescent="0.25">
      <c r="A14" s="47">
        <v>11</v>
      </c>
      <c r="B14" s="84" t="s">
        <v>194</v>
      </c>
      <c r="C14" s="85" t="s">
        <v>74</v>
      </c>
      <c r="D14" s="27">
        <v>1990</v>
      </c>
      <c r="E14" s="55">
        <v>5120</v>
      </c>
      <c r="F14" s="12" t="s">
        <v>23</v>
      </c>
      <c r="G14" s="14" t="s">
        <v>33</v>
      </c>
      <c r="H14" s="14" t="s">
        <v>427</v>
      </c>
      <c r="I14" s="13" t="s">
        <v>27</v>
      </c>
      <c r="J14" s="24" t="s">
        <v>25</v>
      </c>
      <c r="K14" s="24">
        <v>3</v>
      </c>
      <c r="L14" s="28" t="s">
        <v>196</v>
      </c>
      <c r="M14" s="24">
        <v>1</v>
      </c>
      <c r="N14" s="70" t="s">
        <v>35</v>
      </c>
      <c r="O14" s="59"/>
      <c r="P14" s="22">
        <v>220</v>
      </c>
      <c r="Q14" s="14" t="s">
        <v>169</v>
      </c>
      <c r="R14" s="14"/>
      <c r="S14" s="14" t="s">
        <v>162</v>
      </c>
      <c r="T14" s="14">
        <v>30</v>
      </c>
      <c r="U14" s="14">
        <v>41</v>
      </c>
      <c r="V14" s="14">
        <v>85</v>
      </c>
      <c r="W14" s="14" t="s">
        <v>177</v>
      </c>
      <c r="X14" s="14" t="s">
        <v>177</v>
      </c>
      <c r="Y14" s="44"/>
    </row>
    <row r="15" spans="1:25" ht="21" customHeight="1" x14ac:dyDescent="0.25">
      <c r="A15" s="48">
        <v>12</v>
      </c>
      <c r="B15" s="82" t="s">
        <v>197</v>
      </c>
      <c r="C15" s="83" t="s">
        <v>77</v>
      </c>
      <c r="D15" s="30">
        <v>2000</v>
      </c>
      <c r="E15" s="54">
        <v>3000</v>
      </c>
      <c r="F15" s="12" t="s">
        <v>23</v>
      </c>
      <c r="G15" s="14" t="s">
        <v>24</v>
      </c>
      <c r="H15" s="14" t="s">
        <v>195</v>
      </c>
      <c r="I15" s="13" t="s">
        <v>27</v>
      </c>
      <c r="J15" s="24" t="s">
        <v>25</v>
      </c>
      <c r="K15" s="24">
        <v>10</v>
      </c>
      <c r="L15" s="29" t="s">
        <v>57</v>
      </c>
      <c r="M15" s="14" t="s">
        <v>27</v>
      </c>
      <c r="N15" s="70" t="s">
        <v>27</v>
      </c>
      <c r="O15" s="59"/>
      <c r="P15" s="22">
        <v>240</v>
      </c>
      <c r="Q15" s="14" t="s">
        <v>169</v>
      </c>
      <c r="R15" s="14"/>
      <c r="S15" s="14" t="s">
        <v>162</v>
      </c>
      <c r="T15" s="14">
        <v>30</v>
      </c>
      <c r="U15" s="14">
        <v>39</v>
      </c>
      <c r="V15" s="14">
        <v>102</v>
      </c>
      <c r="W15" s="14" t="s">
        <v>170</v>
      </c>
      <c r="X15" s="14" t="s">
        <v>170</v>
      </c>
      <c r="Y15" s="44"/>
    </row>
    <row r="16" spans="1:25" ht="21" customHeight="1" x14ac:dyDescent="0.25">
      <c r="A16" s="47">
        <v>13</v>
      </c>
      <c r="B16" s="82" t="s">
        <v>198</v>
      </c>
      <c r="C16" s="83" t="s">
        <v>80</v>
      </c>
      <c r="D16" s="27">
        <v>2000</v>
      </c>
      <c r="E16" s="54">
        <v>3150</v>
      </c>
      <c r="F16" s="12" t="s">
        <v>23</v>
      </c>
      <c r="G16" s="14" t="s">
        <v>24</v>
      </c>
      <c r="H16" s="14" t="s">
        <v>195</v>
      </c>
      <c r="I16" s="13" t="s">
        <v>27</v>
      </c>
      <c r="J16" s="24" t="s">
        <v>25</v>
      </c>
      <c r="K16" s="24">
        <v>10</v>
      </c>
      <c r="L16" s="29" t="s">
        <v>57</v>
      </c>
      <c r="M16" s="24" t="s">
        <v>27</v>
      </c>
      <c r="N16" s="70" t="s">
        <v>27</v>
      </c>
      <c r="O16" s="59"/>
      <c r="P16" s="22">
        <v>280</v>
      </c>
      <c r="Q16" s="14" t="s">
        <v>169</v>
      </c>
      <c r="R16" s="14"/>
      <c r="S16" s="14" t="s">
        <v>162</v>
      </c>
      <c r="T16" s="14">
        <v>30</v>
      </c>
      <c r="U16" s="14">
        <v>22</v>
      </c>
      <c r="V16" s="14">
        <v>105</v>
      </c>
      <c r="W16" s="14" t="s">
        <v>177</v>
      </c>
      <c r="X16" s="14" t="s">
        <v>177</v>
      </c>
      <c r="Y16" s="44"/>
    </row>
    <row r="17" spans="1:25" ht="21" customHeight="1" x14ac:dyDescent="0.25">
      <c r="A17" s="48">
        <v>14</v>
      </c>
      <c r="B17" s="82" t="s">
        <v>199</v>
      </c>
      <c r="C17" s="83" t="s">
        <v>82</v>
      </c>
      <c r="D17" s="27">
        <v>1990</v>
      </c>
      <c r="E17" s="54">
        <v>5000</v>
      </c>
      <c r="F17" s="16" t="s">
        <v>23</v>
      </c>
      <c r="G17" s="19" t="s">
        <v>33</v>
      </c>
      <c r="H17" s="19" t="s">
        <v>200</v>
      </c>
      <c r="I17" s="17" t="s">
        <v>27</v>
      </c>
      <c r="J17" s="24" t="s">
        <v>25</v>
      </c>
      <c r="K17" s="14">
        <v>3</v>
      </c>
      <c r="L17" s="28" t="s">
        <v>34</v>
      </c>
      <c r="M17" s="14">
        <v>1</v>
      </c>
      <c r="N17" s="69" t="s">
        <v>181</v>
      </c>
      <c r="O17" s="60"/>
      <c r="P17" s="23">
        <v>286</v>
      </c>
      <c r="Q17" s="14" t="s">
        <v>169</v>
      </c>
      <c r="R17" s="14"/>
      <c r="S17" s="14" t="s">
        <v>162</v>
      </c>
      <c r="T17" s="14">
        <v>30</v>
      </c>
      <c r="U17" s="14">
        <v>22</v>
      </c>
      <c r="V17" s="14">
        <v>105</v>
      </c>
      <c r="W17" s="14" t="s">
        <v>177</v>
      </c>
      <c r="X17" s="14" t="s">
        <v>177</v>
      </c>
      <c r="Y17" s="44"/>
    </row>
    <row r="18" spans="1:25" ht="21" customHeight="1" x14ac:dyDescent="0.25">
      <c r="A18" s="47">
        <v>15</v>
      </c>
      <c r="B18" s="82" t="s">
        <v>201</v>
      </c>
      <c r="C18" s="83" t="s">
        <v>84</v>
      </c>
      <c r="D18" s="27">
        <v>2007</v>
      </c>
      <c r="E18" s="54">
        <v>2325</v>
      </c>
      <c r="F18" s="16" t="s">
        <v>23</v>
      </c>
      <c r="G18" s="19" t="s">
        <v>33</v>
      </c>
      <c r="H18" s="19" t="s">
        <v>176</v>
      </c>
      <c r="I18" s="17" t="s">
        <v>27</v>
      </c>
      <c r="J18" s="24" t="s">
        <v>25</v>
      </c>
      <c r="K18" s="24">
        <v>2</v>
      </c>
      <c r="L18" s="31" t="s">
        <v>46</v>
      </c>
      <c r="M18" s="24">
        <v>1</v>
      </c>
      <c r="N18" s="71" t="s">
        <v>66</v>
      </c>
      <c r="O18" s="60"/>
      <c r="P18" s="23">
        <v>110</v>
      </c>
      <c r="Q18" s="14" t="s">
        <v>169</v>
      </c>
      <c r="R18" s="14"/>
      <c r="S18" s="14" t="s">
        <v>162</v>
      </c>
      <c r="T18" s="14">
        <v>28</v>
      </c>
      <c r="U18" s="14">
        <v>41</v>
      </c>
      <c r="V18" s="14">
        <v>105.5</v>
      </c>
      <c r="W18" s="14" t="s">
        <v>193</v>
      </c>
      <c r="X18" s="14" t="s">
        <v>193</v>
      </c>
      <c r="Y18" s="44"/>
    </row>
    <row r="19" spans="1:25" ht="21" customHeight="1" x14ac:dyDescent="0.25">
      <c r="A19" s="48">
        <v>16</v>
      </c>
      <c r="B19" s="84" t="s">
        <v>202</v>
      </c>
      <c r="C19" s="85" t="s">
        <v>86</v>
      </c>
      <c r="D19" s="27">
        <v>2007</v>
      </c>
      <c r="E19" s="55">
        <v>2325</v>
      </c>
      <c r="F19" s="12" t="s">
        <v>23</v>
      </c>
      <c r="G19" s="14" t="s">
        <v>33</v>
      </c>
      <c r="H19" s="14" t="s">
        <v>203</v>
      </c>
      <c r="I19" s="13">
        <v>88001</v>
      </c>
      <c r="J19" s="24" t="s">
        <v>40</v>
      </c>
      <c r="K19" s="19">
        <v>2</v>
      </c>
      <c r="L19" s="77" t="s">
        <v>78</v>
      </c>
      <c r="M19" s="19">
        <v>1</v>
      </c>
      <c r="N19" s="78" t="s">
        <v>204</v>
      </c>
      <c r="O19" s="61"/>
      <c r="P19" s="22">
        <v>140</v>
      </c>
      <c r="Q19" s="14" t="s">
        <v>169</v>
      </c>
      <c r="R19" s="14"/>
      <c r="S19" s="14" t="s">
        <v>162</v>
      </c>
      <c r="T19" s="14">
        <v>40</v>
      </c>
      <c r="U19" s="14">
        <v>112</v>
      </c>
      <c r="V19" s="14" t="s">
        <v>205</v>
      </c>
      <c r="W19" s="14" t="s">
        <v>177</v>
      </c>
      <c r="X19" s="14" t="s">
        <v>177</v>
      </c>
      <c r="Y19" s="44"/>
    </row>
    <row r="20" spans="1:25" ht="21" customHeight="1" x14ac:dyDescent="0.25">
      <c r="A20" s="47">
        <v>17</v>
      </c>
      <c r="B20" s="82" t="s">
        <v>206</v>
      </c>
      <c r="C20" s="83" t="s">
        <v>88</v>
      </c>
      <c r="D20" s="27">
        <v>2009</v>
      </c>
      <c r="E20" s="54">
        <v>5000</v>
      </c>
      <c r="F20" s="12" t="s">
        <v>23</v>
      </c>
      <c r="G20" s="14" t="s">
        <v>33</v>
      </c>
      <c r="H20" s="14" t="s">
        <v>160</v>
      </c>
      <c r="I20" s="13" t="s">
        <v>27</v>
      </c>
      <c r="J20" s="24" t="s">
        <v>25</v>
      </c>
      <c r="K20" s="14">
        <v>2</v>
      </c>
      <c r="L20" s="28" t="s">
        <v>65</v>
      </c>
      <c r="M20" s="14" t="s">
        <v>27</v>
      </c>
      <c r="N20" s="69" t="s">
        <v>27</v>
      </c>
      <c r="O20" s="59"/>
      <c r="P20" s="23">
        <v>50</v>
      </c>
      <c r="Q20" s="14" t="s">
        <v>161</v>
      </c>
      <c r="R20" s="14" t="s">
        <v>162</v>
      </c>
      <c r="S20" s="14"/>
      <c r="T20" s="14">
        <v>2</v>
      </c>
      <c r="U20" s="14">
        <v>16</v>
      </c>
      <c r="V20" s="14">
        <v>42</v>
      </c>
      <c r="W20" s="14" t="s">
        <v>163</v>
      </c>
      <c r="X20" s="14" t="s">
        <v>163</v>
      </c>
      <c r="Y20" s="44"/>
    </row>
    <row r="21" spans="1:25" ht="21" customHeight="1" x14ac:dyDescent="0.25">
      <c r="A21" s="48">
        <v>18</v>
      </c>
      <c r="B21" s="82" t="s">
        <v>207</v>
      </c>
      <c r="C21" s="83" t="s">
        <v>92</v>
      </c>
      <c r="D21" s="27">
        <v>1997</v>
      </c>
      <c r="E21" s="54">
        <v>5000</v>
      </c>
      <c r="F21" s="16" t="s">
        <v>23</v>
      </c>
      <c r="G21" s="19" t="s">
        <v>33</v>
      </c>
      <c r="H21" s="19" t="s">
        <v>208</v>
      </c>
      <c r="I21" s="17" t="s">
        <v>209</v>
      </c>
      <c r="J21" s="24" t="s">
        <v>25</v>
      </c>
      <c r="K21" s="24">
        <v>3</v>
      </c>
      <c r="L21" s="31" t="s">
        <v>36</v>
      </c>
      <c r="M21" s="24">
        <v>1</v>
      </c>
      <c r="N21" s="71" t="s">
        <v>35</v>
      </c>
      <c r="O21" s="60"/>
      <c r="P21" s="23">
        <v>240</v>
      </c>
      <c r="Q21" s="14" t="s">
        <v>169</v>
      </c>
      <c r="R21" s="14" t="s">
        <v>162</v>
      </c>
      <c r="S21" s="14"/>
      <c r="T21" s="14">
        <v>30</v>
      </c>
      <c r="U21" s="14">
        <v>41</v>
      </c>
      <c r="V21" s="14">
        <v>101</v>
      </c>
      <c r="W21" s="14" t="s">
        <v>170</v>
      </c>
      <c r="X21" s="14" t="s">
        <v>170</v>
      </c>
      <c r="Y21" s="44"/>
    </row>
    <row r="22" spans="1:25" ht="21" customHeight="1" x14ac:dyDescent="0.25">
      <c r="A22" s="47">
        <v>19</v>
      </c>
      <c r="B22" s="82" t="s">
        <v>210</v>
      </c>
      <c r="C22" s="83" t="s">
        <v>94</v>
      </c>
      <c r="D22" s="27">
        <v>2010</v>
      </c>
      <c r="E22" s="54">
        <v>1585</v>
      </c>
      <c r="F22" s="10" t="s">
        <v>211</v>
      </c>
      <c r="G22" s="11" t="s">
        <v>33</v>
      </c>
      <c r="H22" s="19" t="s">
        <v>160</v>
      </c>
      <c r="I22" s="17" t="s">
        <v>27</v>
      </c>
      <c r="J22" s="74" t="s">
        <v>40</v>
      </c>
      <c r="K22" s="74">
        <v>1</v>
      </c>
      <c r="L22" s="45" t="s">
        <v>28</v>
      </c>
      <c r="M22" s="74" t="s">
        <v>27</v>
      </c>
      <c r="N22" s="80" t="s">
        <v>27</v>
      </c>
      <c r="O22" s="59"/>
      <c r="P22" s="23">
        <v>71</v>
      </c>
      <c r="Q22" s="14" t="s">
        <v>161</v>
      </c>
      <c r="R22" s="14" t="s">
        <v>162</v>
      </c>
      <c r="S22" s="14"/>
      <c r="T22" s="14">
        <v>2</v>
      </c>
      <c r="U22" s="14">
        <v>16</v>
      </c>
      <c r="V22" s="14">
        <v>42</v>
      </c>
      <c r="W22" s="14" t="s">
        <v>163</v>
      </c>
      <c r="X22" s="14" t="s">
        <v>163</v>
      </c>
      <c r="Y22" s="44"/>
    </row>
    <row r="23" spans="1:25" ht="21" customHeight="1" x14ac:dyDescent="0.25">
      <c r="A23" s="48">
        <v>20</v>
      </c>
      <c r="B23" s="84" t="s">
        <v>212</v>
      </c>
      <c r="C23" s="85" t="s">
        <v>99</v>
      </c>
      <c r="D23" s="27">
        <v>1991</v>
      </c>
      <c r="E23" s="55">
        <v>4500</v>
      </c>
      <c r="F23" s="12" t="s">
        <v>23</v>
      </c>
      <c r="G23" s="14" t="s">
        <v>33</v>
      </c>
      <c r="H23" s="14" t="s">
        <v>213</v>
      </c>
      <c r="I23" s="13" t="s">
        <v>214</v>
      </c>
      <c r="J23" s="24" t="s">
        <v>40</v>
      </c>
      <c r="K23" s="14">
        <v>3</v>
      </c>
      <c r="L23" s="28" t="s">
        <v>173</v>
      </c>
      <c r="M23" s="24">
        <v>1</v>
      </c>
      <c r="N23" s="29" t="s">
        <v>174</v>
      </c>
      <c r="O23" s="61"/>
      <c r="P23" s="22">
        <v>210</v>
      </c>
      <c r="Q23" s="14" t="s">
        <v>169</v>
      </c>
      <c r="R23" s="14"/>
      <c r="S23" s="14" t="s">
        <v>162</v>
      </c>
      <c r="T23" s="14">
        <v>50</v>
      </c>
      <c r="U23" s="14">
        <v>128</v>
      </c>
      <c r="V23" s="14">
        <v>102</v>
      </c>
      <c r="W23" s="14" t="s">
        <v>170</v>
      </c>
      <c r="X23" s="14" t="s">
        <v>170</v>
      </c>
      <c r="Y23" s="44"/>
    </row>
    <row r="24" spans="1:25" ht="21" customHeight="1" x14ac:dyDescent="0.25">
      <c r="A24" s="47">
        <v>21</v>
      </c>
      <c r="B24" s="82" t="s">
        <v>215</v>
      </c>
      <c r="C24" s="83" t="s">
        <v>101</v>
      </c>
      <c r="D24" s="27">
        <v>2010</v>
      </c>
      <c r="E24" s="54">
        <v>2500</v>
      </c>
      <c r="F24" s="16" t="s">
        <v>23</v>
      </c>
      <c r="G24" s="19" t="s">
        <v>33</v>
      </c>
      <c r="H24" s="19" t="s">
        <v>216</v>
      </c>
      <c r="I24" s="17">
        <v>85988</v>
      </c>
      <c r="J24" s="24" t="s">
        <v>25</v>
      </c>
      <c r="K24" s="24">
        <v>2</v>
      </c>
      <c r="L24" s="31" t="s">
        <v>46</v>
      </c>
      <c r="M24" s="24">
        <v>1</v>
      </c>
      <c r="N24" s="71" t="s">
        <v>66</v>
      </c>
      <c r="O24" s="60"/>
      <c r="P24" s="23">
        <v>150</v>
      </c>
      <c r="Q24" s="14" t="s">
        <v>169</v>
      </c>
      <c r="R24" s="14" t="s">
        <v>162</v>
      </c>
      <c r="S24" s="14"/>
      <c r="T24" s="14">
        <v>28</v>
      </c>
      <c r="U24" s="14">
        <v>41</v>
      </c>
      <c r="V24" s="14">
        <v>93</v>
      </c>
      <c r="W24" s="14" t="s">
        <v>177</v>
      </c>
      <c r="X24" s="14" t="s">
        <v>177</v>
      </c>
      <c r="Y24" s="44"/>
    </row>
    <row r="25" spans="1:25" ht="21" customHeight="1" x14ac:dyDescent="0.25">
      <c r="A25" s="48">
        <v>22</v>
      </c>
      <c r="B25" s="82" t="s">
        <v>217</v>
      </c>
      <c r="C25" s="83" t="s">
        <v>103</v>
      </c>
      <c r="D25" s="27">
        <v>2011</v>
      </c>
      <c r="E25" s="54">
        <v>2250</v>
      </c>
      <c r="F25" s="16" t="s">
        <v>23</v>
      </c>
      <c r="G25" s="19" t="s">
        <v>33</v>
      </c>
      <c r="H25" s="19" t="s">
        <v>218</v>
      </c>
      <c r="I25" s="17" t="s">
        <v>27</v>
      </c>
      <c r="J25" s="24" t="s">
        <v>25</v>
      </c>
      <c r="K25" s="24">
        <v>2</v>
      </c>
      <c r="L25" s="75" t="s">
        <v>78</v>
      </c>
      <c r="M25" s="24">
        <v>1</v>
      </c>
      <c r="N25" s="75" t="s">
        <v>219</v>
      </c>
      <c r="O25" s="60"/>
      <c r="P25" s="23">
        <v>110</v>
      </c>
      <c r="Q25" s="14" t="s">
        <v>169</v>
      </c>
      <c r="R25" s="14" t="s">
        <v>162</v>
      </c>
      <c r="S25" s="14"/>
      <c r="T25" s="14">
        <v>28</v>
      </c>
      <c r="U25" s="14">
        <v>56</v>
      </c>
      <c r="V25" s="14">
        <v>69</v>
      </c>
      <c r="W25" s="14" t="s">
        <v>177</v>
      </c>
      <c r="X25" s="14" t="s">
        <v>177</v>
      </c>
      <c r="Y25" s="44"/>
    </row>
    <row r="26" spans="1:25" ht="21" customHeight="1" x14ac:dyDescent="0.25">
      <c r="A26" s="47">
        <v>23</v>
      </c>
      <c r="B26" s="84" t="s">
        <v>220</v>
      </c>
      <c r="C26" s="85" t="s">
        <v>105</v>
      </c>
      <c r="D26" s="27">
        <v>2011</v>
      </c>
      <c r="E26" s="55">
        <v>1615</v>
      </c>
      <c r="F26" s="10" t="s">
        <v>211</v>
      </c>
      <c r="G26" s="11" t="s">
        <v>95</v>
      </c>
      <c r="H26" s="14" t="s">
        <v>160</v>
      </c>
      <c r="I26" s="13" t="s">
        <v>27</v>
      </c>
      <c r="J26" s="24" t="s">
        <v>40</v>
      </c>
      <c r="K26" s="24">
        <v>2</v>
      </c>
      <c r="L26" s="14" t="s">
        <v>28</v>
      </c>
      <c r="M26" s="24" t="s">
        <v>27</v>
      </c>
      <c r="N26" s="70" t="s">
        <v>27</v>
      </c>
      <c r="O26" s="59"/>
      <c r="P26" s="22">
        <v>66</v>
      </c>
      <c r="Q26" s="14" t="s">
        <v>161</v>
      </c>
      <c r="R26" s="14" t="s">
        <v>162</v>
      </c>
      <c r="S26" s="14"/>
      <c r="T26" s="14">
        <v>6</v>
      </c>
      <c r="U26" s="14">
        <v>17</v>
      </c>
      <c r="V26" s="14">
        <v>36</v>
      </c>
      <c r="W26" s="14" t="s">
        <v>177</v>
      </c>
      <c r="X26" s="14" t="s">
        <v>177</v>
      </c>
      <c r="Y26" s="44"/>
    </row>
    <row r="27" spans="1:25" ht="21" customHeight="1" x14ac:dyDescent="0.25">
      <c r="A27" s="48">
        <v>24</v>
      </c>
      <c r="B27" s="84" t="s">
        <v>221</v>
      </c>
      <c r="C27" s="85" t="s">
        <v>107</v>
      </c>
      <c r="D27" s="27">
        <v>2011</v>
      </c>
      <c r="E27" s="55">
        <v>1600</v>
      </c>
      <c r="F27" s="10" t="s">
        <v>211</v>
      </c>
      <c r="G27" s="11" t="s">
        <v>24</v>
      </c>
      <c r="H27" s="14" t="s">
        <v>160</v>
      </c>
      <c r="I27" s="13" t="s">
        <v>27</v>
      </c>
      <c r="J27" s="24" t="s">
        <v>40</v>
      </c>
      <c r="K27" s="24">
        <v>2</v>
      </c>
      <c r="L27" s="14" t="s">
        <v>28</v>
      </c>
      <c r="M27" s="24" t="s">
        <v>27</v>
      </c>
      <c r="N27" s="70" t="s">
        <v>27</v>
      </c>
      <c r="O27" s="61"/>
      <c r="P27" s="22">
        <v>80</v>
      </c>
      <c r="Q27" s="14" t="s">
        <v>161</v>
      </c>
      <c r="R27" s="14" t="s">
        <v>162</v>
      </c>
      <c r="S27" s="14"/>
      <c r="T27" s="14">
        <v>3</v>
      </c>
      <c r="U27" s="14">
        <v>15</v>
      </c>
      <c r="V27" s="14">
        <v>45</v>
      </c>
      <c r="W27" s="14" t="s">
        <v>177</v>
      </c>
      <c r="X27" s="14" t="s">
        <v>177</v>
      </c>
      <c r="Y27" s="44"/>
    </row>
    <row r="28" spans="1:25" ht="21" customHeight="1" x14ac:dyDescent="0.25">
      <c r="A28" s="47">
        <v>25</v>
      </c>
      <c r="B28" s="84" t="s">
        <v>222</v>
      </c>
      <c r="C28" s="85" t="s">
        <v>110</v>
      </c>
      <c r="D28" s="27">
        <v>1991</v>
      </c>
      <c r="E28" s="55">
        <v>1250</v>
      </c>
      <c r="F28" s="12" t="s">
        <v>23</v>
      </c>
      <c r="G28" s="14" t="s">
        <v>95</v>
      </c>
      <c r="H28" s="14" t="s">
        <v>160</v>
      </c>
      <c r="I28" s="13" t="s">
        <v>27</v>
      </c>
      <c r="J28" s="24" t="s">
        <v>40</v>
      </c>
      <c r="K28" s="24">
        <v>1</v>
      </c>
      <c r="L28" s="24" t="s">
        <v>28</v>
      </c>
      <c r="M28" s="24" t="s">
        <v>27</v>
      </c>
      <c r="N28" s="70" t="s">
        <v>27</v>
      </c>
      <c r="O28" s="59"/>
      <c r="P28" s="22">
        <v>70</v>
      </c>
      <c r="Q28" s="14" t="s">
        <v>161</v>
      </c>
      <c r="R28" s="14" t="s">
        <v>162</v>
      </c>
      <c r="S28" s="14"/>
      <c r="T28" s="14">
        <v>1</v>
      </c>
      <c r="U28" s="14">
        <v>16</v>
      </c>
      <c r="V28" s="14">
        <v>36</v>
      </c>
      <c r="W28" s="14" t="s">
        <v>163</v>
      </c>
      <c r="X28" s="14" t="s">
        <v>163</v>
      </c>
      <c r="Y28" s="44"/>
    </row>
    <row r="29" spans="1:25" ht="21" customHeight="1" x14ac:dyDescent="0.25">
      <c r="A29" s="48">
        <v>26</v>
      </c>
      <c r="B29" s="84" t="s">
        <v>223</v>
      </c>
      <c r="C29" s="85" t="s">
        <v>112</v>
      </c>
      <c r="D29" s="27">
        <v>1991</v>
      </c>
      <c r="E29" s="55">
        <v>1200</v>
      </c>
      <c r="F29" s="10" t="s">
        <v>211</v>
      </c>
      <c r="G29" s="11" t="s">
        <v>24</v>
      </c>
      <c r="H29" s="14" t="s">
        <v>224</v>
      </c>
      <c r="I29" s="13" t="s">
        <v>27</v>
      </c>
      <c r="J29" s="24" t="s">
        <v>25</v>
      </c>
      <c r="K29" s="24">
        <v>1</v>
      </c>
      <c r="L29" s="24" t="s">
        <v>75</v>
      </c>
      <c r="M29" s="24" t="s">
        <v>27</v>
      </c>
      <c r="N29" s="70" t="s">
        <v>27</v>
      </c>
      <c r="O29" s="59"/>
      <c r="P29" s="22">
        <v>40</v>
      </c>
      <c r="Q29" s="14" t="s">
        <v>161</v>
      </c>
      <c r="R29" s="14" t="s">
        <v>162</v>
      </c>
      <c r="S29" s="14"/>
      <c r="T29" s="14">
        <v>0.8</v>
      </c>
      <c r="U29" s="14">
        <v>17</v>
      </c>
      <c r="V29" s="14">
        <v>32</v>
      </c>
      <c r="W29" s="14" t="s">
        <v>163</v>
      </c>
      <c r="X29" s="14" t="s">
        <v>163</v>
      </c>
      <c r="Y29" s="44"/>
    </row>
    <row r="30" spans="1:25" ht="21" customHeight="1" x14ac:dyDescent="0.25">
      <c r="A30" s="47">
        <v>27</v>
      </c>
      <c r="B30" s="84" t="s">
        <v>225</v>
      </c>
      <c r="C30" s="85" t="s">
        <v>115</v>
      </c>
      <c r="D30" s="27">
        <v>2012</v>
      </c>
      <c r="E30" s="55">
        <v>2500</v>
      </c>
      <c r="F30" s="10" t="s">
        <v>23</v>
      </c>
      <c r="G30" s="11" t="s">
        <v>33</v>
      </c>
      <c r="H30" s="14" t="s">
        <v>428</v>
      </c>
      <c r="I30" s="13" t="s">
        <v>27</v>
      </c>
      <c r="J30" s="24" t="s">
        <v>25</v>
      </c>
      <c r="K30" s="24">
        <v>2</v>
      </c>
      <c r="L30" s="75" t="s">
        <v>46</v>
      </c>
      <c r="M30" s="24">
        <v>1</v>
      </c>
      <c r="N30" s="71" t="s">
        <v>35</v>
      </c>
      <c r="O30" s="59"/>
      <c r="P30" s="22">
        <v>90</v>
      </c>
      <c r="Q30" s="14" t="s">
        <v>169</v>
      </c>
      <c r="R30" s="14"/>
      <c r="S30" s="14" t="s">
        <v>162</v>
      </c>
      <c r="T30" s="14">
        <v>20</v>
      </c>
      <c r="U30" s="14">
        <v>40.5</v>
      </c>
      <c r="V30" s="14">
        <v>112</v>
      </c>
      <c r="W30" s="14" t="s">
        <v>177</v>
      </c>
      <c r="X30" s="14" t="s">
        <v>177</v>
      </c>
      <c r="Y30" s="44"/>
    </row>
    <row r="31" spans="1:25" ht="21" customHeight="1" x14ac:dyDescent="0.25">
      <c r="A31" s="48">
        <v>28</v>
      </c>
      <c r="B31" s="84" t="s">
        <v>226</v>
      </c>
      <c r="C31" s="85" t="s">
        <v>117</v>
      </c>
      <c r="D31" s="27">
        <v>2012</v>
      </c>
      <c r="E31" s="55">
        <v>2000</v>
      </c>
      <c r="F31" s="12" t="s">
        <v>23</v>
      </c>
      <c r="G31" s="14" t="s">
        <v>24</v>
      </c>
      <c r="H31" s="14" t="s">
        <v>227</v>
      </c>
      <c r="I31" s="13" t="s">
        <v>228</v>
      </c>
      <c r="J31" s="24" t="s">
        <v>40</v>
      </c>
      <c r="K31" s="24">
        <v>10</v>
      </c>
      <c r="L31" s="24" t="s">
        <v>229</v>
      </c>
      <c r="M31" s="24" t="s">
        <v>27</v>
      </c>
      <c r="N31" s="76" t="s">
        <v>27</v>
      </c>
      <c r="O31" s="59"/>
      <c r="P31" s="22">
        <v>105</v>
      </c>
      <c r="Q31" s="14" t="s">
        <v>169</v>
      </c>
      <c r="R31" s="14"/>
      <c r="S31" s="14" t="s">
        <v>162</v>
      </c>
      <c r="T31" s="14">
        <v>20</v>
      </c>
      <c r="U31" s="14">
        <v>69.400000000000006</v>
      </c>
      <c r="V31" s="14">
        <v>103</v>
      </c>
      <c r="W31" s="14" t="s">
        <v>177</v>
      </c>
      <c r="X31" s="14" t="s">
        <v>177</v>
      </c>
      <c r="Y31" s="44"/>
    </row>
    <row r="32" spans="1:25" ht="21" customHeight="1" x14ac:dyDescent="0.25">
      <c r="A32" s="47">
        <v>29</v>
      </c>
      <c r="B32" s="82" t="s">
        <v>230</v>
      </c>
      <c r="C32" s="83" t="s">
        <v>120</v>
      </c>
      <c r="D32" s="27">
        <v>2012</v>
      </c>
      <c r="E32" s="54">
        <v>3000</v>
      </c>
      <c r="F32" s="16" t="s">
        <v>23</v>
      </c>
      <c r="G32" s="19" t="s">
        <v>33</v>
      </c>
      <c r="H32" s="19" t="s">
        <v>231</v>
      </c>
      <c r="I32" s="17" t="s">
        <v>232</v>
      </c>
      <c r="J32" s="24" t="s">
        <v>25</v>
      </c>
      <c r="K32" s="14">
        <v>3</v>
      </c>
      <c r="L32" s="14" t="s">
        <v>34</v>
      </c>
      <c r="M32" s="14">
        <v>1</v>
      </c>
      <c r="N32" s="81" t="s">
        <v>181</v>
      </c>
      <c r="O32" s="60"/>
      <c r="P32" s="23">
        <v>230</v>
      </c>
      <c r="Q32" s="14" t="s">
        <v>169</v>
      </c>
      <c r="R32" s="14" t="s">
        <v>162</v>
      </c>
      <c r="S32" s="14"/>
      <c r="T32" s="14">
        <v>30</v>
      </c>
      <c r="U32" s="14">
        <v>39</v>
      </c>
      <c r="V32" s="14">
        <v>104</v>
      </c>
      <c r="W32" s="14" t="s">
        <v>170</v>
      </c>
      <c r="X32" s="14" t="s">
        <v>170</v>
      </c>
      <c r="Y32" s="44"/>
    </row>
    <row r="33" spans="1:25" ht="21" customHeight="1" x14ac:dyDescent="0.25">
      <c r="A33" s="48">
        <v>30</v>
      </c>
      <c r="B33" s="82" t="s">
        <v>233</v>
      </c>
      <c r="C33" s="26" t="s">
        <v>122</v>
      </c>
      <c r="D33" s="27">
        <v>2013</v>
      </c>
      <c r="E33" s="54">
        <v>3150</v>
      </c>
      <c r="F33" s="16" t="s">
        <v>23</v>
      </c>
      <c r="G33" s="19" t="s">
        <v>33</v>
      </c>
      <c r="H33" s="19" t="s">
        <v>429</v>
      </c>
      <c r="I33" s="17" t="s">
        <v>27</v>
      </c>
      <c r="J33" s="16" t="s">
        <v>25</v>
      </c>
      <c r="K33" s="19">
        <v>3</v>
      </c>
      <c r="L33" s="15" t="s">
        <v>34</v>
      </c>
      <c r="M33" s="19">
        <v>1</v>
      </c>
      <c r="N33" s="15" t="s">
        <v>234</v>
      </c>
      <c r="O33" s="60"/>
      <c r="P33" s="23">
        <v>180</v>
      </c>
      <c r="Q33" s="14" t="s">
        <v>169</v>
      </c>
      <c r="R33" s="14"/>
      <c r="S33" s="14" t="s">
        <v>162</v>
      </c>
      <c r="T33" s="14">
        <v>30</v>
      </c>
      <c r="U33" s="14">
        <v>41</v>
      </c>
      <c r="V33" s="14">
        <v>102</v>
      </c>
      <c r="W33" s="14" t="s">
        <v>170</v>
      </c>
      <c r="X33" s="14" t="s">
        <v>170</v>
      </c>
      <c r="Y33" s="44"/>
    </row>
    <row r="34" spans="1:25" ht="21" customHeight="1" x14ac:dyDescent="0.25">
      <c r="A34" s="47">
        <v>31</v>
      </c>
      <c r="B34" s="87" t="s">
        <v>235</v>
      </c>
      <c r="C34" s="26" t="s">
        <v>124</v>
      </c>
      <c r="D34" s="27">
        <v>2007</v>
      </c>
      <c r="E34" s="54">
        <v>3000</v>
      </c>
      <c r="F34" s="16" t="s">
        <v>23</v>
      </c>
      <c r="G34" s="19" t="s">
        <v>33</v>
      </c>
      <c r="H34" s="19" t="s">
        <v>213</v>
      </c>
      <c r="I34" s="17" t="s">
        <v>430</v>
      </c>
      <c r="J34" s="16" t="s">
        <v>25</v>
      </c>
      <c r="K34" s="19">
        <v>3</v>
      </c>
      <c r="L34" s="15" t="s">
        <v>34</v>
      </c>
      <c r="M34" s="19">
        <v>1</v>
      </c>
      <c r="N34" s="15" t="s">
        <v>66</v>
      </c>
      <c r="O34" s="60"/>
      <c r="P34" s="23">
        <v>180</v>
      </c>
      <c r="Q34" s="14" t="s">
        <v>169</v>
      </c>
      <c r="R34" s="14"/>
      <c r="S34" s="14" t="s">
        <v>162</v>
      </c>
      <c r="T34" s="14">
        <v>30</v>
      </c>
      <c r="U34" s="14">
        <v>41</v>
      </c>
      <c r="V34" s="14">
        <v>102</v>
      </c>
      <c r="W34" s="14" t="s">
        <v>170</v>
      </c>
      <c r="X34" s="14" t="s">
        <v>170</v>
      </c>
      <c r="Y34" s="44"/>
    </row>
    <row r="35" spans="1:25" ht="21" customHeight="1" x14ac:dyDescent="0.25">
      <c r="A35" s="48">
        <v>32</v>
      </c>
      <c r="B35" s="82" t="s">
        <v>236</v>
      </c>
      <c r="C35" s="26" t="s">
        <v>126</v>
      </c>
      <c r="D35" s="27">
        <v>1995</v>
      </c>
      <c r="E35" s="54">
        <v>2650</v>
      </c>
      <c r="F35" s="16" t="s">
        <v>23</v>
      </c>
      <c r="G35" s="19" t="s">
        <v>33</v>
      </c>
      <c r="H35" s="19"/>
      <c r="I35" s="17"/>
      <c r="J35" s="24" t="s">
        <v>25</v>
      </c>
      <c r="K35" s="14">
        <v>3</v>
      </c>
      <c r="L35" s="14" t="s">
        <v>46</v>
      </c>
      <c r="M35" s="19">
        <v>1</v>
      </c>
      <c r="N35" s="14" t="s">
        <v>237</v>
      </c>
      <c r="O35" s="60"/>
      <c r="P35" s="23"/>
      <c r="Q35" s="14"/>
      <c r="R35" s="14"/>
      <c r="S35" s="14"/>
      <c r="T35" s="14"/>
      <c r="U35" s="14"/>
      <c r="V35" s="14"/>
      <c r="W35" s="14"/>
      <c r="X35" s="14"/>
      <c r="Y35" s="44"/>
    </row>
    <row r="36" spans="1:25" ht="21" customHeight="1" x14ac:dyDescent="0.25">
      <c r="A36" s="49">
        <v>33</v>
      </c>
      <c r="B36" s="51" t="s">
        <v>238</v>
      </c>
      <c r="C36" s="73" t="s">
        <v>128</v>
      </c>
      <c r="D36" s="27">
        <v>1991</v>
      </c>
      <c r="E36" s="56">
        <v>2650</v>
      </c>
      <c r="F36" s="20" t="s">
        <v>23</v>
      </c>
      <c r="G36" s="34" t="s">
        <v>33</v>
      </c>
      <c r="H36" s="34"/>
      <c r="I36" s="21"/>
      <c r="J36" s="20" t="s">
        <v>25</v>
      </c>
      <c r="K36" s="34"/>
      <c r="L36" s="18"/>
      <c r="M36" s="34"/>
      <c r="N36" s="18"/>
      <c r="O36" s="62"/>
      <c r="P36" s="35"/>
      <c r="Q36" s="45" t="s">
        <v>169</v>
      </c>
      <c r="R36" s="45"/>
      <c r="S36" s="45"/>
      <c r="T36" s="45"/>
      <c r="U36" s="45"/>
      <c r="V36" s="45"/>
      <c r="W36" s="45"/>
      <c r="X36" s="45"/>
      <c r="Y36" s="46"/>
    </row>
    <row r="37" spans="1:25" ht="21" customHeight="1" x14ac:dyDescent="0.25">
      <c r="L37" s="33"/>
      <c r="M37" s="33"/>
      <c r="N37" s="9"/>
      <c r="P37" s="33"/>
      <c r="Q37" s="37"/>
    </row>
    <row r="38" spans="1:25" ht="21" customHeight="1" x14ac:dyDescent="0.25">
      <c r="L38" s="37"/>
      <c r="M38" s="33"/>
      <c r="N38" s="9"/>
      <c r="P38" s="33"/>
    </row>
    <row r="39" spans="1:25" ht="21" customHeight="1" x14ac:dyDescent="0.25">
      <c r="L39" s="33"/>
      <c r="M39" s="33"/>
      <c r="N39" s="9"/>
      <c r="P39" s="33"/>
      <c r="Q39" s="37"/>
    </row>
    <row r="40" spans="1:25" ht="21" customHeight="1" x14ac:dyDescent="0.25">
      <c r="L40" s="37"/>
      <c r="M40" s="33"/>
      <c r="N40" s="9"/>
      <c r="P40" s="33"/>
    </row>
    <row r="41" spans="1:25" ht="21" customHeight="1" x14ac:dyDescent="0.25">
      <c r="H41" s="4"/>
      <c r="I41" s="4"/>
      <c r="J41" s="41"/>
      <c r="L41" s="33"/>
      <c r="M41" s="33"/>
      <c r="N41" s="9"/>
      <c r="P41" s="33"/>
      <c r="Q41" s="37"/>
    </row>
    <row r="42" spans="1:25" ht="21" customHeight="1" x14ac:dyDescent="0.25">
      <c r="L42" s="33"/>
      <c r="M42" s="33"/>
      <c r="N42" s="33"/>
      <c r="P42" s="33"/>
    </row>
    <row r="43" spans="1:25" ht="21" customHeight="1" x14ac:dyDescent="0.25">
      <c r="L43" s="33"/>
      <c r="M43" s="33"/>
      <c r="N43" s="33"/>
      <c r="P43" s="33"/>
      <c r="Q43" s="37"/>
    </row>
    <row r="44" spans="1:25" ht="21" customHeight="1" x14ac:dyDescent="0.25">
      <c r="L44" s="33"/>
      <c r="M44" s="33"/>
      <c r="N44" s="33"/>
      <c r="P44" s="33"/>
      <c r="Q44" s="37"/>
    </row>
    <row r="45" spans="1:25" ht="21" customHeight="1" x14ac:dyDescent="0.25">
      <c r="L45" s="33"/>
      <c r="M45" s="33"/>
      <c r="N45" s="33"/>
      <c r="P45" s="33"/>
      <c r="Q45" s="37"/>
    </row>
    <row r="46" spans="1:25" ht="21" customHeight="1" x14ac:dyDescent="0.25">
      <c r="L46" s="33"/>
      <c r="M46" s="33"/>
      <c r="N46" s="33"/>
      <c r="P46" s="37"/>
      <c r="Q46" s="37"/>
    </row>
    <row r="47" spans="1:25" ht="21" customHeight="1" x14ac:dyDescent="0.25">
      <c r="L47" s="33"/>
      <c r="M47" s="33"/>
      <c r="N47" s="33"/>
      <c r="P47" s="37"/>
      <c r="Q47" s="37"/>
    </row>
    <row r="48" spans="1:25" ht="21" customHeight="1" x14ac:dyDescent="0.25">
      <c r="L48" s="33"/>
      <c r="M48" s="33"/>
      <c r="N48" s="33"/>
      <c r="P48" s="37"/>
      <c r="Q48" s="37"/>
    </row>
    <row r="49" spans="12:17" ht="21" customHeight="1" x14ac:dyDescent="0.25">
      <c r="L49" s="33"/>
      <c r="M49" s="33"/>
      <c r="N49" s="33"/>
      <c r="P49" s="37"/>
      <c r="Q49" s="37"/>
    </row>
    <row r="50" spans="12:17" ht="21" customHeight="1" x14ac:dyDescent="0.25">
      <c r="P50" s="37"/>
    </row>
    <row r="51" spans="12:17" ht="21" customHeight="1" x14ac:dyDescent="0.25">
      <c r="P51" s="37"/>
    </row>
    <row r="52" spans="12:17" ht="21" customHeight="1" x14ac:dyDescent="0.25">
      <c r="P52" s="37"/>
    </row>
    <row r="53" spans="12:17" ht="21" customHeight="1" x14ac:dyDescent="0.25">
      <c r="P53" s="37"/>
    </row>
    <row r="54" spans="12:17" ht="21" customHeight="1" x14ac:dyDescent="0.25">
      <c r="P54" s="37"/>
    </row>
    <row r="55" spans="12:17" ht="21" customHeight="1" x14ac:dyDescent="0.25">
      <c r="P55" s="37"/>
    </row>
    <row r="56" spans="12:17" ht="21" customHeight="1" x14ac:dyDescent="0.25">
      <c r="P56" s="37"/>
    </row>
    <row r="57" spans="12:17" ht="21" customHeight="1" x14ac:dyDescent="0.25">
      <c r="P57" s="37"/>
    </row>
    <row r="58" spans="12:17" ht="21" customHeight="1" x14ac:dyDescent="0.25">
      <c r="P58" s="37"/>
    </row>
    <row r="59" spans="12:17" ht="21" customHeight="1" x14ac:dyDescent="0.25">
      <c r="P59" s="37"/>
    </row>
    <row r="60" spans="12:17" ht="21" customHeight="1" x14ac:dyDescent="0.25">
      <c r="P60" s="37"/>
    </row>
    <row r="61" spans="12:17" ht="21" customHeight="1" x14ac:dyDescent="0.25">
      <c r="P61" s="37"/>
    </row>
    <row r="62" spans="12:17" ht="21" customHeight="1" x14ac:dyDescent="0.25">
      <c r="P62" s="37"/>
    </row>
    <row r="63" spans="12:17" ht="21" customHeight="1" x14ac:dyDescent="0.25">
      <c r="P63" s="37"/>
    </row>
  </sheetData>
  <mergeCells count="8">
    <mergeCell ref="F1:I2"/>
    <mergeCell ref="A1:E2"/>
    <mergeCell ref="J1:N2"/>
    <mergeCell ref="O1:O2"/>
    <mergeCell ref="P1:Y1"/>
    <mergeCell ref="R2:S2"/>
    <mergeCell ref="U2:V2"/>
    <mergeCell ref="W2:X2"/>
  </mergeCells>
  <phoneticPr fontId="3" type="noConversion"/>
  <conditionalFormatting sqref="O4:O36">
    <cfRule type="cellIs" dxfId="11" priority="1" operator="between">
      <formula>$AA$1+30</formula>
      <formula>$AA$1+60</formula>
    </cfRule>
    <cfRule type="cellIs" dxfId="10" priority="2" operator="between">
      <formula>$AA$1</formula>
      <formula>$AA$1+30</formula>
    </cfRule>
    <cfRule type="cellIs" dxfId="9" priority="3" operator="lessThanOrEqual">
      <formula>$AA$1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D29A-6D22-4778-A5E7-F12CD8E1BFF0}">
  <sheetPr codeName="Hoja9"/>
  <dimension ref="A1:AG580"/>
  <sheetViews>
    <sheetView topLeftCell="B1" zoomScale="85" zoomScaleNormal="85" workbookViewId="0">
      <selection activeCell="T9" sqref="T9"/>
    </sheetView>
  </sheetViews>
  <sheetFormatPr baseColWidth="10" defaultColWidth="10.85546875" defaultRowHeight="16.5" x14ac:dyDescent="0.25"/>
  <cols>
    <col min="1" max="1" width="5.28515625" style="33" customWidth="1"/>
    <col min="2" max="2" width="12.5703125" style="5" customWidth="1"/>
    <col min="3" max="3" width="12.85546875" style="5" customWidth="1"/>
    <col min="4" max="4" width="9.140625" style="33" customWidth="1"/>
    <col min="5" max="5" width="14.42578125" style="33" customWidth="1"/>
    <col min="6" max="6" width="9.85546875" style="33" customWidth="1"/>
    <col min="7" max="7" width="6.140625" style="33" customWidth="1"/>
    <col min="8" max="9" width="15.85546875" style="6" customWidth="1"/>
    <col min="10" max="10" width="12.7109375" style="6" customWidth="1"/>
    <col min="11" max="11" width="6.7109375" style="6" customWidth="1"/>
    <col min="12" max="13" width="15.5703125" style="6" customWidth="1"/>
    <col min="14" max="14" width="11.28515625" style="6" customWidth="1"/>
    <col min="15" max="15" width="9.85546875" style="33" customWidth="1"/>
    <col min="16" max="16" width="6.85546875" style="33" customWidth="1"/>
    <col min="17" max="17" width="7.28515625" style="33" customWidth="1"/>
    <col min="18" max="18" width="6.85546875" style="33" customWidth="1"/>
    <col min="19" max="19" width="7.7109375" style="33" customWidth="1"/>
    <col min="20" max="20" width="7.5703125" style="33" customWidth="1"/>
    <col min="21" max="21" width="6.85546875" style="33" customWidth="1"/>
    <col min="22" max="23" width="8.28515625" style="33" customWidth="1"/>
    <col min="24" max="24" width="22.7109375" style="5" customWidth="1"/>
    <col min="25" max="25" width="6.85546875" style="5" customWidth="1"/>
    <col min="26" max="26" width="15.42578125" style="33" customWidth="1"/>
    <col min="27" max="27" width="13.7109375" style="33" customWidth="1"/>
    <col min="28" max="28" width="2.5703125" style="33" customWidth="1"/>
    <col min="29" max="29" width="11.7109375" style="33" customWidth="1"/>
    <col min="30" max="30" width="14.85546875" style="33" customWidth="1"/>
    <col min="31" max="31" width="13" style="33" customWidth="1"/>
    <col min="32" max="32" width="12.7109375" style="33" customWidth="1"/>
    <col min="33" max="33" width="15.28515625" style="33" customWidth="1"/>
    <col min="34" max="84" width="5.7109375" style="33" customWidth="1"/>
    <col min="85" max="16384" width="10.85546875" style="33"/>
  </cols>
  <sheetData>
    <row r="1" spans="1:25" s="3" customFormat="1" ht="21" customHeight="1" thickBot="1" x14ac:dyDescent="0.3">
      <c r="A1" s="433" t="s">
        <v>129</v>
      </c>
      <c r="B1" s="434"/>
      <c r="C1" s="435"/>
      <c r="D1" s="433" t="s">
        <v>342</v>
      </c>
      <c r="E1" s="434"/>
      <c r="F1" s="435"/>
      <c r="G1" s="439" t="s">
        <v>343</v>
      </c>
      <c r="H1" s="440"/>
      <c r="I1" s="440"/>
      <c r="J1" s="440"/>
      <c r="K1" s="440"/>
      <c r="L1" s="440"/>
      <c r="M1" s="440"/>
      <c r="N1" s="440"/>
      <c r="O1" s="441"/>
      <c r="P1" s="439" t="s">
        <v>133</v>
      </c>
      <c r="Q1" s="440"/>
      <c r="R1" s="440"/>
      <c r="S1" s="440"/>
      <c r="T1" s="440"/>
      <c r="U1" s="440"/>
      <c r="V1" s="440"/>
      <c r="W1" s="441"/>
      <c r="X1" s="442" t="s">
        <v>158</v>
      </c>
      <c r="Y1" s="175"/>
    </row>
    <row r="2" spans="1:25" s="3" customFormat="1" ht="24.75" customHeight="1" thickBot="1" x14ac:dyDescent="0.3">
      <c r="A2" s="436"/>
      <c r="B2" s="437"/>
      <c r="C2" s="438"/>
      <c r="D2" s="436"/>
      <c r="E2" s="437"/>
      <c r="F2" s="437"/>
      <c r="G2" s="439" t="s">
        <v>344</v>
      </c>
      <c r="H2" s="440"/>
      <c r="I2" s="440"/>
      <c r="J2" s="441"/>
      <c r="K2" s="439" t="s">
        <v>345</v>
      </c>
      <c r="L2" s="440"/>
      <c r="M2" s="440"/>
      <c r="N2" s="440"/>
      <c r="O2" s="441"/>
      <c r="P2" s="259"/>
      <c r="Q2" s="444" t="s">
        <v>346</v>
      </c>
      <c r="R2" s="445"/>
      <c r="S2" s="259"/>
      <c r="T2" s="444" t="s">
        <v>137</v>
      </c>
      <c r="U2" s="445"/>
      <c r="V2" s="444" t="s">
        <v>138</v>
      </c>
      <c r="W2" s="446"/>
      <c r="X2" s="443"/>
      <c r="Y2" s="175"/>
    </row>
    <row r="3" spans="1:25" s="38" customFormat="1" ht="60" customHeight="1" thickBot="1" x14ac:dyDescent="0.3">
      <c r="A3" s="260" t="s">
        <v>347</v>
      </c>
      <c r="B3" s="261" t="s">
        <v>348</v>
      </c>
      <c r="C3" s="262" t="s">
        <v>241</v>
      </c>
      <c r="D3" s="260" t="s">
        <v>9</v>
      </c>
      <c r="E3" s="260" t="s">
        <v>8</v>
      </c>
      <c r="F3" s="260" t="s">
        <v>143</v>
      </c>
      <c r="G3" s="260" t="s">
        <v>144</v>
      </c>
      <c r="H3" s="263" t="s">
        <v>349</v>
      </c>
      <c r="I3" s="263" t="s">
        <v>350</v>
      </c>
      <c r="J3" s="263" t="s">
        <v>351</v>
      </c>
      <c r="K3" s="260" t="s">
        <v>146</v>
      </c>
      <c r="L3" s="263" t="s">
        <v>352</v>
      </c>
      <c r="M3" s="263" t="s">
        <v>353</v>
      </c>
      <c r="N3" s="261" t="s">
        <v>354</v>
      </c>
      <c r="O3" s="261" t="s">
        <v>355</v>
      </c>
      <c r="P3" s="264" t="s">
        <v>141</v>
      </c>
      <c r="Q3" s="265" t="s">
        <v>151</v>
      </c>
      <c r="R3" s="265" t="s">
        <v>152</v>
      </c>
      <c r="S3" s="266" t="s">
        <v>356</v>
      </c>
      <c r="T3" s="265" t="s">
        <v>357</v>
      </c>
      <c r="U3" s="265" t="s">
        <v>358</v>
      </c>
      <c r="V3" s="265" t="s">
        <v>156</v>
      </c>
      <c r="W3" s="267" t="s">
        <v>157</v>
      </c>
      <c r="X3" s="443"/>
      <c r="Y3" s="175"/>
    </row>
    <row r="4" spans="1:25" ht="21" customHeight="1" x14ac:dyDescent="0.25">
      <c r="A4" s="176" t="s">
        <v>367</v>
      </c>
      <c r="B4" s="177" t="s">
        <v>368</v>
      </c>
      <c r="C4" s="269" t="s">
        <v>245</v>
      </c>
      <c r="D4" s="176" t="s">
        <v>23</v>
      </c>
      <c r="E4" s="177" t="s">
        <v>331</v>
      </c>
      <c r="F4" s="178" t="s">
        <v>27</v>
      </c>
      <c r="G4" s="270">
        <v>3</v>
      </c>
      <c r="H4" s="179" t="s">
        <v>246</v>
      </c>
      <c r="I4" s="178" t="s">
        <v>51</v>
      </c>
      <c r="J4" s="180">
        <v>42186</v>
      </c>
      <c r="K4" s="271">
        <v>2</v>
      </c>
      <c r="L4" s="179" t="s">
        <v>247</v>
      </c>
      <c r="M4" s="178" t="s">
        <v>307</v>
      </c>
      <c r="N4" s="180">
        <v>42186</v>
      </c>
      <c r="O4" s="181">
        <v>200</v>
      </c>
      <c r="P4" s="182" t="s">
        <v>169</v>
      </c>
      <c r="Q4" s="183"/>
      <c r="R4" s="183" t="s">
        <v>162</v>
      </c>
      <c r="S4" s="183">
        <v>50</v>
      </c>
      <c r="T4" s="183">
        <v>55</v>
      </c>
      <c r="U4" s="183">
        <v>140</v>
      </c>
      <c r="V4" s="183" t="s">
        <v>170</v>
      </c>
      <c r="W4" s="184" t="s">
        <v>170</v>
      </c>
      <c r="X4" s="185"/>
      <c r="Y4" s="186"/>
    </row>
    <row r="5" spans="1:25" ht="21" customHeight="1" x14ac:dyDescent="0.25">
      <c r="A5" s="12" t="s">
        <v>369</v>
      </c>
      <c r="B5" s="14" t="s">
        <v>368</v>
      </c>
      <c r="C5" s="209" t="s">
        <v>260</v>
      </c>
      <c r="D5" s="12" t="s">
        <v>23</v>
      </c>
      <c r="E5" s="14" t="s">
        <v>328</v>
      </c>
      <c r="F5" s="13" t="s">
        <v>27</v>
      </c>
      <c r="G5" s="212">
        <v>1</v>
      </c>
      <c r="H5" s="44" t="s">
        <v>370</v>
      </c>
      <c r="I5" s="13" t="s">
        <v>296</v>
      </c>
      <c r="J5" s="189">
        <v>42491</v>
      </c>
      <c r="K5" s="202" t="s">
        <v>27</v>
      </c>
      <c r="L5" s="44" t="s">
        <v>27</v>
      </c>
      <c r="M5" s="44" t="s">
        <v>27</v>
      </c>
      <c r="N5" s="189">
        <v>42491</v>
      </c>
      <c r="O5" s="191">
        <v>100</v>
      </c>
      <c r="P5" s="12" t="s">
        <v>161</v>
      </c>
      <c r="Q5" s="14" t="s">
        <v>162</v>
      </c>
      <c r="R5" s="14"/>
      <c r="S5" s="14">
        <v>2</v>
      </c>
      <c r="T5" s="14">
        <v>16</v>
      </c>
      <c r="U5" s="14">
        <v>67</v>
      </c>
      <c r="V5" s="14" t="s">
        <v>163</v>
      </c>
      <c r="W5" s="13" t="s">
        <v>163</v>
      </c>
      <c r="X5" s="192"/>
      <c r="Y5" s="97"/>
    </row>
    <row r="6" spans="1:25" ht="21" customHeight="1" x14ac:dyDescent="0.25">
      <c r="A6" s="12" t="s">
        <v>373</v>
      </c>
      <c r="B6" s="14" t="s">
        <v>374</v>
      </c>
      <c r="C6" s="209" t="s">
        <v>245</v>
      </c>
      <c r="D6" s="12" t="s">
        <v>23</v>
      </c>
      <c r="E6" s="14" t="s">
        <v>176</v>
      </c>
      <c r="F6" s="13" t="s">
        <v>27</v>
      </c>
      <c r="G6" s="215">
        <v>2</v>
      </c>
      <c r="H6" s="44" t="s">
        <v>252</v>
      </c>
      <c r="I6" s="13" t="s">
        <v>46</v>
      </c>
      <c r="J6" s="189">
        <v>42370</v>
      </c>
      <c r="K6" s="216">
        <v>1</v>
      </c>
      <c r="L6" s="44" t="s">
        <v>265</v>
      </c>
      <c r="M6" s="13" t="s">
        <v>312</v>
      </c>
      <c r="N6" s="189">
        <v>42370</v>
      </c>
      <c r="O6" s="191">
        <v>60</v>
      </c>
      <c r="P6" s="12" t="s">
        <v>169</v>
      </c>
      <c r="Q6" s="14"/>
      <c r="R6" s="14" t="s">
        <v>162</v>
      </c>
      <c r="S6" s="14">
        <v>30</v>
      </c>
      <c r="T6" s="14">
        <v>35</v>
      </c>
      <c r="U6" s="14">
        <v>73</v>
      </c>
      <c r="V6" s="14" t="s">
        <v>170</v>
      </c>
      <c r="W6" s="13" t="s">
        <v>170</v>
      </c>
      <c r="X6" s="199"/>
      <c r="Y6" s="200"/>
    </row>
    <row r="7" spans="1:25" ht="21" customHeight="1" x14ac:dyDescent="0.25">
      <c r="A7" s="12" t="s">
        <v>375</v>
      </c>
      <c r="B7" s="14" t="s">
        <v>374</v>
      </c>
      <c r="C7" s="209" t="s">
        <v>260</v>
      </c>
      <c r="D7" s="12" t="s">
        <v>23</v>
      </c>
      <c r="E7" s="14" t="s">
        <v>160</v>
      </c>
      <c r="F7" s="13" t="s">
        <v>27</v>
      </c>
      <c r="G7" s="201">
        <v>1</v>
      </c>
      <c r="H7" s="44" t="s">
        <v>330</v>
      </c>
      <c r="I7" s="13" t="s">
        <v>294</v>
      </c>
      <c r="J7" s="189">
        <v>42736</v>
      </c>
      <c r="K7" s="202" t="s">
        <v>27</v>
      </c>
      <c r="L7" s="44" t="s">
        <v>27</v>
      </c>
      <c r="M7" s="44" t="s">
        <v>27</v>
      </c>
      <c r="N7" s="189">
        <v>42736</v>
      </c>
      <c r="O7" s="191">
        <v>60</v>
      </c>
      <c r="P7" s="203" t="s">
        <v>161</v>
      </c>
      <c r="Q7" s="204" t="s">
        <v>162</v>
      </c>
      <c r="R7" s="204"/>
      <c r="S7" s="204">
        <v>1</v>
      </c>
      <c r="T7" s="204">
        <v>16</v>
      </c>
      <c r="U7" s="204">
        <v>36</v>
      </c>
      <c r="V7" s="204" t="s">
        <v>163</v>
      </c>
      <c r="W7" s="205" t="s">
        <v>163</v>
      </c>
      <c r="X7" s="206"/>
    </row>
    <row r="8" spans="1:25" ht="21" customHeight="1" x14ac:dyDescent="0.25">
      <c r="A8" s="12" t="s">
        <v>376</v>
      </c>
      <c r="B8" s="14" t="s">
        <v>374</v>
      </c>
      <c r="C8" s="209" t="s">
        <v>245</v>
      </c>
      <c r="D8" s="10" t="s">
        <v>211</v>
      </c>
      <c r="E8" s="14" t="s">
        <v>176</v>
      </c>
      <c r="F8" s="13" t="s">
        <v>27</v>
      </c>
      <c r="G8" s="215">
        <v>2</v>
      </c>
      <c r="H8" s="44" t="s">
        <v>252</v>
      </c>
      <c r="I8" s="13" t="s">
        <v>46</v>
      </c>
      <c r="J8" s="189">
        <v>42370</v>
      </c>
      <c r="K8" s="216">
        <v>1</v>
      </c>
      <c r="L8" s="44" t="s">
        <v>265</v>
      </c>
      <c r="M8" s="13" t="s">
        <v>312</v>
      </c>
      <c r="N8" s="189">
        <v>42370</v>
      </c>
      <c r="O8" s="191">
        <v>60</v>
      </c>
      <c r="P8" s="12" t="s">
        <v>169</v>
      </c>
      <c r="Q8" s="14"/>
      <c r="R8" s="14" t="s">
        <v>162</v>
      </c>
      <c r="S8" s="14">
        <v>30</v>
      </c>
      <c r="T8" s="14">
        <v>40</v>
      </c>
      <c r="U8" s="14">
        <v>81</v>
      </c>
      <c r="V8" s="14" t="s">
        <v>170</v>
      </c>
      <c r="W8" s="13" t="s">
        <v>170</v>
      </c>
      <c r="X8" s="207"/>
      <c r="Y8" s="208"/>
    </row>
    <row r="9" spans="1:25" ht="21" customHeight="1" x14ac:dyDescent="0.25">
      <c r="A9" s="12" t="s">
        <v>377</v>
      </c>
      <c r="B9" s="14" t="s">
        <v>374</v>
      </c>
      <c r="C9" s="209" t="s">
        <v>260</v>
      </c>
      <c r="D9" s="10" t="s">
        <v>211</v>
      </c>
      <c r="E9" s="14" t="s">
        <v>160</v>
      </c>
      <c r="F9" s="13" t="s">
        <v>27</v>
      </c>
      <c r="G9" s="201">
        <v>1</v>
      </c>
      <c r="H9" s="44" t="s">
        <v>330</v>
      </c>
      <c r="I9" s="13" t="s">
        <v>294</v>
      </c>
      <c r="J9" s="189">
        <v>42736</v>
      </c>
      <c r="K9" s="202" t="s">
        <v>27</v>
      </c>
      <c r="L9" s="44" t="s">
        <v>27</v>
      </c>
      <c r="M9" s="44" t="s">
        <v>27</v>
      </c>
      <c r="N9" s="189">
        <v>42736</v>
      </c>
      <c r="O9" s="191">
        <v>60</v>
      </c>
      <c r="P9" s="210" t="s">
        <v>161</v>
      </c>
      <c r="Q9" s="204" t="s">
        <v>162</v>
      </c>
      <c r="R9" s="204"/>
      <c r="S9" s="204">
        <v>1</v>
      </c>
      <c r="T9" s="204">
        <v>16</v>
      </c>
      <c r="U9" s="204">
        <v>36</v>
      </c>
      <c r="V9" s="204" t="s">
        <v>163</v>
      </c>
      <c r="W9" s="205" t="s">
        <v>163</v>
      </c>
      <c r="X9" s="211"/>
      <c r="Y9" s="200"/>
    </row>
    <row r="10" spans="1:25" ht="21" customHeight="1" x14ac:dyDescent="0.25">
      <c r="A10" s="12" t="s">
        <v>378</v>
      </c>
      <c r="B10" s="14" t="s">
        <v>379</v>
      </c>
      <c r="C10" s="209" t="s">
        <v>245</v>
      </c>
      <c r="D10" s="12" t="s">
        <v>23</v>
      </c>
      <c r="E10" s="14" t="s">
        <v>329</v>
      </c>
      <c r="F10" s="13">
        <v>29773</v>
      </c>
      <c r="G10" s="221">
        <v>3</v>
      </c>
      <c r="H10" s="44" t="s">
        <v>268</v>
      </c>
      <c r="I10" s="13" t="s">
        <v>43</v>
      </c>
      <c r="J10" s="189">
        <v>42491</v>
      </c>
      <c r="K10" s="222">
        <v>1</v>
      </c>
      <c r="L10" s="44" t="s">
        <v>263</v>
      </c>
      <c r="M10" s="13" t="s">
        <v>311</v>
      </c>
      <c r="N10" s="189">
        <v>42491</v>
      </c>
      <c r="O10" s="191">
        <v>80</v>
      </c>
      <c r="P10" s="12" t="s">
        <v>169</v>
      </c>
      <c r="Q10" s="14"/>
      <c r="R10" s="14" t="s">
        <v>162</v>
      </c>
      <c r="S10" s="14">
        <v>50</v>
      </c>
      <c r="T10" s="14">
        <v>55</v>
      </c>
      <c r="U10" s="14">
        <v>70</v>
      </c>
      <c r="V10" s="14" t="s">
        <v>170</v>
      </c>
      <c r="W10" s="13" t="s">
        <v>170</v>
      </c>
      <c r="X10" s="207"/>
      <c r="Y10" s="208"/>
    </row>
    <row r="11" spans="1:25" ht="21" customHeight="1" x14ac:dyDescent="0.25">
      <c r="A11" s="12" t="s">
        <v>380</v>
      </c>
      <c r="B11" s="14" t="s">
        <v>379</v>
      </c>
      <c r="C11" s="209" t="s">
        <v>260</v>
      </c>
      <c r="D11" s="12" t="s">
        <v>23</v>
      </c>
      <c r="E11" s="14" t="s">
        <v>160</v>
      </c>
      <c r="F11" s="13" t="s">
        <v>27</v>
      </c>
      <c r="G11" s="201">
        <v>2</v>
      </c>
      <c r="H11" s="44" t="s">
        <v>381</v>
      </c>
      <c r="I11" s="13" t="s">
        <v>294</v>
      </c>
      <c r="J11" s="189">
        <v>42705</v>
      </c>
      <c r="K11" s="202" t="s">
        <v>27</v>
      </c>
      <c r="L11" s="44" t="s">
        <v>27</v>
      </c>
      <c r="M11" s="44" t="s">
        <v>27</v>
      </c>
      <c r="N11" s="189">
        <v>42705</v>
      </c>
      <c r="O11" s="191">
        <v>80</v>
      </c>
      <c r="P11" s="210" t="s">
        <v>161</v>
      </c>
      <c r="Q11" s="204" t="s">
        <v>162</v>
      </c>
      <c r="R11" s="204"/>
      <c r="S11" s="204">
        <v>2</v>
      </c>
      <c r="T11" s="204">
        <v>16</v>
      </c>
      <c r="U11" s="204">
        <v>36</v>
      </c>
      <c r="V11" s="204" t="s">
        <v>163</v>
      </c>
      <c r="W11" s="205" t="s">
        <v>163</v>
      </c>
      <c r="X11" s="211"/>
      <c r="Y11" s="200"/>
    </row>
    <row r="12" spans="1:25" ht="21" customHeight="1" x14ac:dyDescent="0.25">
      <c r="A12" s="12" t="s">
        <v>382</v>
      </c>
      <c r="B12" s="14" t="s">
        <v>379</v>
      </c>
      <c r="C12" s="209" t="s">
        <v>245</v>
      </c>
      <c r="D12" s="10" t="s">
        <v>211</v>
      </c>
      <c r="E12" s="14" t="s">
        <v>189</v>
      </c>
      <c r="F12" s="13" t="s">
        <v>27</v>
      </c>
      <c r="G12" s="188">
        <v>2</v>
      </c>
      <c r="H12" s="44" t="s">
        <v>272</v>
      </c>
      <c r="I12" s="13" t="s">
        <v>51</v>
      </c>
      <c r="J12" s="189">
        <v>42522</v>
      </c>
      <c r="K12" s="226">
        <v>1</v>
      </c>
      <c r="L12" s="44" t="s">
        <v>253</v>
      </c>
      <c r="M12" s="13" t="s">
        <v>313</v>
      </c>
      <c r="N12" s="189">
        <v>42522</v>
      </c>
      <c r="O12" s="191">
        <v>112</v>
      </c>
      <c r="P12" s="12" t="s">
        <v>161</v>
      </c>
      <c r="Q12" s="14" t="s">
        <v>162</v>
      </c>
      <c r="R12" s="14"/>
      <c r="S12" s="14">
        <v>50</v>
      </c>
      <c r="T12" s="14">
        <v>41</v>
      </c>
      <c r="U12" s="14">
        <v>93</v>
      </c>
      <c r="V12" s="14" t="s">
        <v>170</v>
      </c>
      <c r="W12" s="13" t="s">
        <v>170</v>
      </c>
      <c r="X12" s="217"/>
    </row>
    <row r="13" spans="1:25" ht="21" customHeight="1" x14ac:dyDescent="0.25">
      <c r="A13" s="12" t="s">
        <v>383</v>
      </c>
      <c r="B13" s="14" t="s">
        <v>379</v>
      </c>
      <c r="C13" s="187" t="s">
        <v>260</v>
      </c>
      <c r="D13" s="10" t="s">
        <v>211</v>
      </c>
      <c r="E13" s="14" t="s">
        <v>160</v>
      </c>
      <c r="F13" s="13" t="s">
        <v>27</v>
      </c>
      <c r="G13" s="231">
        <v>1</v>
      </c>
      <c r="H13" s="44" t="s">
        <v>384</v>
      </c>
      <c r="I13" s="13" t="s">
        <v>294</v>
      </c>
      <c r="J13" s="232">
        <v>42795</v>
      </c>
      <c r="K13" s="202" t="s">
        <v>27</v>
      </c>
      <c r="L13" s="44" t="s">
        <v>27</v>
      </c>
      <c r="M13" s="44" t="s">
        <v>27</v>
      </c>
      <c r="N13" s="189">
        <v>42005</v>
      </c>
      <c r="O13" s="191">
        <v>80</v>
      </c>
      <c r="P13" s="210" t="s">
        <v>161</v>
      </c>
      <c r="Q13" s="204" t="s">
        <v>162</v>
      </c>
      <c r="R13" s="204"/>
      <c r="S13" s="204">
        <v>1</v>
      </c>
      <c r="T13" s="204">
        <v>16</v>
      </c>
      <c r="U13" s="204">
        <v>36</v>
      </c>
      <c r="V13" s="204" t="s">
        <v>163</v>
      </c>
      <c r="W13" s="205" t="s">
        <v>163</v>
      </c>
      <c r="X13" s="218"/>
      <c r="Y13" s="208"/>
    </row>
    <row r="14" spans="1:25" ht="21" customHeight="1" x14ac:dyDescent="0.25">
      <c r="A14" s="12" t="s">
        <v>361</v>
      </c>
      <c r="B14" s="14" t="s">
        <v>362</v>
      </c>
      <c r="C14" s="187" t="s">
        <v>245</v>
      </c>
      <c r="D14" s="10" t="s">
        <v>211</v>
      </c>
      <c r="E14" s="14" t="s">
        <v>189</v>
      </c>
      <c r="F14" s="13" t="s">
        <v>27</v>
      </c>
      <c r="G14" s="188">
        <v>2</v>
      </c>
      <c r="H14" s="44" t="s">
        <v>272</v>
      </c>
      <c r="I14" s="13" t="s">
        <v>51</v>
      </c>
      <c r="J14" s="189">
        <v>42740</v>
      </c>
      <c r="K14" s="190">
        <v>3</v>
      </c>
      <c r="L14" s="44" t="s">
        <v>256</v>
      </c>
      <c r="M14" s="13" t="s">
        <v>307</v>
      </c>
      <c r="N14" s="189">
        <v>42740</v>
      </c>
      <c r="O14" s="191">
        <v>130</v>
      </c>
      <c r="P14" s="12" t="s">
        <v>161</v>
      </c>
      <c r="Q14" s="14" t="s">
        <v>162</v>
      </c>
      <c r="R14" s="14"/>
      <c r="S14" s="14">
        <v>70</v>
      </c>
      <c r="T14" s="14">
        <v>67</v>
      </c>
      <c r="U14" s="14">
        <v>105</v>
      </c>
      <c r="V14" s="14" t="s">
        <v>170</v>
      </c>
      <c r="W14" s="13" t="s">
        <v>170</v>
      </c>
      <c r="X14" s="219"/>
      <c r="Y14" s="186"/>
    </row>
    <row r="15" spans="1:25" ht="21" customHeight="1" x14ac:dyDescent="0.25">
      <c r="A15" s="12" t="s">
        <v>359</v>
      </c>
      <c r="B15" s="14" t="s">
        <v>360</v>
      </c>
      <c r="C15" s="187" t="s">
        <v>260</v>
      </c>
      <c r="D15" s="12" t="s">
        <v>23</v>
      </c>
      <c r="E15" s="14" t="s">
        <v>160</v>
      </c>
      <c r="F15" s="13" t="s">
        <v>27</v>
      </c>
      <c r="G15" s="201">
        <v>2</v>
      </c>
      <c r="H15" s="44" t="s">
        <v>330</v>
      </c>
      <c r="I15" s="13" t="s">
        <v>294</v>
      </c>
      <c r="J15" s="189">
        <v>42675</v>
      </c>
      <c r="K15" s="202" t="s">
        <v>27</v>
      </c>
      <c r="L15" s="44" t="s">
        <v>27</v>
      </c>
      <c r="M15" s="13" t="s">
        <v>27</v>
      </c>
      <c r="N15" s="189">
        <v>42675</v>
      </c>
      <c r="O15" s="191">
        <v>73</v>
      </c>
      <c r="P15" s="203" t="s">
        <v>161</v>
      </c>
      <c r="Q15" s="204" t="s">
        <v>162</v>
      </c>
      <c r="R15" s="204"/>
      <c r="S15" s="204">
        <v>50</v>
      </c>
      <c r="T15" s="204">
        <v>41</v>
      </c>
      <c r="U15" s="204">
        <v>88</v>
      </c>
      <c r="V15" s="204" t="s">
        <v>170</v>
      </c>
      <c r="W15" s="205" t="s">
        <v>170</v>
      </c>
      <c r="X15" s="220"/>
      <c r="Y15" s="186"/>
    </row>
    <row r="16" spans="1:25" ht="21" customHeight="1" x14ac:dyDescent="0.25">
      <c r="A16" s="12" t="s">
        <v>393</v>
      </c>
      <c r="B16" s="14" t="s">
        <v>394</v>
      </c>
      <c r="C16" s="187" t="s">
        <v>245</v>
      </c>
      <c r="D16" s="12" t="s">
        <v>23</v>
      </c>
      <c r="E16" s="14" t="s">
        <v>331</v>
      </c>
      <c r="F16" s="13">
        <v>90120</v>
      </c>
      <c r="G16" s="188">
        <v>4</v>
      </c>
      <c r="H16" s="44" t="s">
        <v>246</v>
      </c>
      <c r="I16" s="13" t="s">
        <v>51</v>
      </c>
      <c r="J16" s="232">
        <v>42903</v>
      </c>
      <c r="K16" s="190">
        <v>3</v>
      </c>
      <c r="L16" s="44" t="s">
        <v>247</v>
      </c>
      <c r="M16" s="13" t="s">
        <v>307</v>
      </c>
      <c r="N16" s="189">
        <v>42903</v>
      </c>
      <c r="O16" s="191">
        <v>250</v>
      </c>
      <c r="P16" s="12" t="s">
        <v>161</v>
      </c>
      <c r="Q16" s="14" t="s">
        <v>162</v>
      </c>
      <c r="R16" s="14"/>
      <c r="S16" s="14">
        <v>34</v>
      </c>
      <c r="T16" s="14">
        <v>40.6</v>
      </c>
      <c r="U16" s="14">
        <v>105</v>
      </c>
      <c r="V16" s="14" t="s">
        <v>170</v>
      </c>
      <c r="W16" s="13" t="s">
        <v>170</v>
      </c>
      <c r="X16" s="199"/>
      <c r="Y16" s="200"/>
    </row>
    <row r="17" spans="1:33" ht="21" customHeight="1" x14ac:dyDescent="0.25">
      <c r="A17" s="12" t="s">
        <v>390</v>
      </c>
      <c r="B17" s="14" t="s">
        <v>391</v>
      </c>
      <c r="C17" s="187" t="s">
        <v>245</v>
      </c>
      <c r="D17" s="12" t="s">
        <v>23</v>
      </c>
      <c r="E17" s="14" t="s">
        <v>392</v>
      </c>
      <c r="F17" s="13" t="s">
        <v>27</v>
      </c>
      <c r="G17" s="188">
        <v>3</v>
      </c>
      <c r="H17" s="44" t="s">
        <v>246</v>
      </c>
      <c r="I17" s="13" t="s">
        <v>51</v>
      </c>
      <c r="J17" s="232">
        <v>43018</v>
      </c>
      <c r="K17" s="190">
        <v>4</v>
      </c>
      <c r="L17" s="44" t="s">
        <v>247</v>
      </c>
      <c r="M17" s="44" t="s">
        <v>307</v>
      </c>
      <c r="N17" s="189">
        <v>43018</v>
      </c>
      <c r="O17" s="191">
        <v>186</v>
      </c>
      <c r="P17" s="223" t="s">
        <v>161</v>
      </c>
      <c r="Q17" s="224" t="s">
        <v>162</v>
      </c>
      <c r="R17" s="224"/>
      <c r="S17" s="224">
        <v>3</v>
      </c>
      <c r="T17" s="224">
        <v>15</v>
      </c>
      <c r="U17" s="224">
        <v>43</v>
      </c>
      <c r="V17" s="224" t="s">
        <v>163</v>
      </c>
      <c r="W17" s="225" t="s">
        <v>327</v>
      </c>
      <c r="X17" s="220"/>
      <c r="Y17" s="186"/>
    </row>
    <row r="18" spans="1:33" ht="21" customHeight="1" x14ac:dyDescent="0.25">
      <c r="A18" s="12" t="s">
        <v>385</v>
      </c>
      <c r="B18" s="14" t="s">
        <v>386</v>
      </c>
      <c r="C18" s="187" t="s">
        <v>260</v>
      </c>
      <c r="D18" s="12" t="s">
        <v>23</v>
      </c>
      <c r="E18" s="14" t="s">
        <v>160</v>
      </c>
      <c r="F18" s="13" t="s">
        <v>27</v>
      </c>
      <c r="G18" s="201">
        <v>2</v>
      </c>
      <c r="H18" s="44" t="s">
        <v>330</v>
      </c>
      <c r="I18" s="13" t="s">
        <v>294</v>
      </c>
      <c r="J18" s="232">
        <v>42767</v>
      </c>
      <c r="K18" s="202" t="s">
        <v>27</v>
      </c>
      <c r="L18" s="44" t="s">
        <v>27</v>
      </c>
      <c r="M18" s="13" t="s">
        <v>27</v>
      </c>
      <c r="N18" s="189">
        <v>42767</v>
      </c>
      <c r="O18" s="191">
        <v>70</v>
      </c>
      <c r="P18" s="227" t="s">
        <v>169</v>
      </c>
      <c r="Q18" s="228"/>
      <c r="R18" s="228" t="s">
        <v>162</v>
      </c>
      <c r="S18" s="228">
        <v>80</v>
      </c>
      <c r="T18" s="228">
        <v>50</v>
      </c>
      <c r="U18" s="228">
        <v>140</v>
      </c>
      <c r="V18" s="228" t="s">
        <v>170</v>
      </c>
      <c r="W18" s="229" t="s">
        <v>170</v>
      </c>
      <c r="X18" s="230"/>
      <c r="Y18" s="208"/>
      <c r="Z18" s="3"/>
      <c r="AA18" s="3"/>
      <c r="AC18" s="3"/>
      <c r="AD18" s="3"/>
      <c r="AE18" s="3"/>
      <c r="AF18" s="3"/>
      <c r="AG18" s="3"/>
    </row>
    <row r="19" spans="1:33" ht="21" customHeight="1" x14ac:dyDescent="0.25">
      <c r="A19" s="12" t="s">
        <v>395</v>
      </c>
      <c r="B19" s="14" t="s">
        <v>396</v>
      </c>
      <c r="C19" s="187" t="s">
        <v>260</v>
      </c>
      <c r="D19" s="12" t="s">
        <v>23</v>
      </c>
      <c r="E19" s="14" t="s">
        <v>224</v>
      </c>
      <c r="F19" s="13" t="s">
        <v>27</v>
      </c>
      <c r="G19" s="237">
        <v>2</v>
      </c>
      <c r="H19" s="44" t="s">
        <v>397</v>
      </c>
      <c r="I19" s="13" t="s">
        <v>297</v>
      </c>
      <c r="J19" s="232">
        <v>42856</v>
      </c>
      <c r="K19" s="202" t="s">
        <v>27</v>
      </c>
      <c r="L19" s="44" t="s">
        <v>27</v>
      </c>
      <c r="M19" s="13" t="s">
        <v>27</v>
      </c>
      <c r="N19" s="189">
        <v>42856</v>
      </c>
      <c r="O19" s="191">
        <v>83</v>
      </c>
      <c r="P19" s="233" t="s">
        <v>169</v>
      </c>
      <c r="Q19" s="224"/>
      <c r="R19" s="224" t="s">
        <v>162</v>
      </c>
      <c r="S19" s="224">
        <v>70</v>
      </c>
      <c r="T19" s="224">
        <v>67</v>
      </c>
      <c r="U19" s="224">
        <v>160</v>
      </c>
      <c r="V19" s="224" t="s">
        <v>170</v>
      </c>
      <c r="W19" s="225" t="s">
        <v>170</v>
      </c>
      <c r="X19" s="220"/>
      <c r="Y19" s="186"/>
    </row>
    <row r="20" spans="1:33" s="3" customFormat="1" ht="21" customHeight="1" x14ac:dyDescent="0.25">
      <c r="A20" s="12" t="s">
        <v>399</v>
      </c>
      <c r="B20" s="14" t="s">
        <v>396</v>
      </c>
      <c r="C20" s="187" t="s">
        <v>260</v>
      </c>
      <c r="D20" s="10" t="s">
        <v>211</v>
      </c>
      <c r="E20" s="14" t="s">
        <v>160</v>
      </c>
      <c r="F20" s="13" t="s">
        <v>27</v>
      </c>
      <c r="G20" s="201">
        <v>1</v>
      </c>
      <c r="H20" s="44" t="s">
        <v>330</v>
      </c>
      <c r="I20" s="13" t="s">
        <v>294</v>
      </c>
      <c r="J20" s="232">
        <v>42856</v>
      </c>
      <c r="K20" s="202" t="s">
        <v>27</v>
      </c>
      <c r="L20" s="44" t="s">
        <v>27</v>
      </c>
      <c r="M20" s="44" t="s">
        <v>27</v>
      </c>
      <c r="N20" s="189">
        <v>42856</v>
      </c>
      <c r="O20" s="239">
        <v>50</v>
      </c>
      <c r="P20" s="234" t="s">
        <v>161</v>
      </c>
      <c r="Q20" s="228" t="s">
        <v>162</v>
      </c>
      <c r="R20" s="228"/>
      <c r="S20" s="228">
        <v>6</v>
      </c>
      <c r="T20" s="228">
        <v>17</v>
      </c>
      <c r="U20" s="228">
        <v>36</v>
      </c>
      <c r="V20" s="228" t="s">
        <v>177</v>
      </c>
      <c r="W20" s="229" t="s">
        <v>177</v>
      </c>
      <c r="X20" s="199"/>
      <c r="Y20" s="200"/>
      <c r="Z20" s="33"/>
      <c r="AA20" s="33"/>
      <c r="AC20" s="33"/>
      <c r="AD20" s="33"/>
      <c r="AE20" s="33"/>
      <c r="AF20" s="33"/>
      <c r="AG20" s="33"/>
    </row>
    <row r="21" spans="1:33" ht="21" customHeight="1" x14ac:dyDescent="0.25">
      <c r="A21" s="12" t="s">
        <v>387</v>
      </c>
      <c r="B21" s="14" t="s">
        <v>388</v>
      </c>
      <c r="C21" s="187" t="s">
        <v>389</v>
      </c>
      <c r="D21" s="12" t="s">
        <v>23</v>
      </c>
      <c r="E21" s="14" t="s">
        <v>326</v>
      </c>
      <c r="F21" s="13" t="s">
        <v>27</v>
      </c>
      <c r="G21" s="188">
        <v>5</v>
      </c>
      <c r="H21" s="44" t="s">
        <v>246</v>
      </c>
      <c r="I21" s="13" t="s">
        <v>51</v>
      </c>
      <c r="J21" s="189">
        <v>42704</v>
      </c>
      <c r="K21" s="235">
        <v>3</v>
      </c>
      <c r="L21" s="44" t="s">
        <v>309</v>
      </c>
      <c r="M21" s="44" t="s">
        <v>310</v>
      </c>
      <c r="N21" s="189">
        <v>42704</v>
      </c>
      <c r="O21" s="191">
        <v>600</v>
      </c>
      <c r="P21" s="223" t="s">
        <v>161</v>
      </c>
      <c r="Q21" s="224" t="s">
        <v>162</v>
      </c>
      <c r="R21" s="224"/>
      <c r="S21" s="224">
        <v>4</v>
      </c>
      <c r="T21" s="224">
        <v>18</v>
      </c>
      <c r="U21" s="224">
        <v>30</v>
      </c>
      <c r="V21" s="224" t="s">
        <v>177</v>
      </c>
      <c r="W21" s="225" t="s">
        <v>177</v>
      </c>
      <c r="X21" s="236"/>
      <c r="Y21" s="200"/>
    </row>
    <row r="22" spans="1:33" ht="21" customHeight="1" x14ac:dyDescent="0.25">
      <c r="A22" s="12" t="s">
        <v>403</v>
      </c>
      <c r="B22" s="19" t="s">
        <v>404</v>
      </c>
      <c r="C22" s="187" t="s">
        <v>332</v>
      </c>
      <c r="D22" s="16" t="s">
        <v>23</v>
      </c>
      <c r="E22" s="19" t="s">
        <v>333</v>
      </c>
      <c r="F22" s="17">
        <v>21684</v>
      </c>
      <c r="G22" s="245">
        <v>4</v>
      </c>
      <c r="H22" s="194" t="s">
        <v>78</v>
      </c>
      <c r="I22" s="13" t="s">
        <v>46</v>
      </c>
      <c r="J22" s="197">
        <v>42309</v>
      </c>
      <c r="K22" s="246">
        <v>1</v>
      </c>
      <c r="L22" s="194" t="s">
        <v>48</v>
      </c>
      <c r="M22" s="194" t="s">
        <v>66</v>
      </c>
      <c r="N22" s="197">
        <v>42309</v>
      </c>
      <c r="O22" s="198">
        <v>110</v>
      </c>
      <c r="P22" s="234" t="s">
        <v>161</v>
      </c>
      <c r="Q22" s="228" t="s">
        <v>162</v>
      </c>
      <c r="R22" s="228"/>
      <c r="S22" s="228">
        <v>2</v>
      </c>
      <c r="T22" s="228">
        <v>19</v>
      </c>
      <c r="U22" s="228">
        <v>39</v>
      </c>
      <c r="V22" s="228" t="s">
        <v>163</v>
      </c>
      <c r="W22" s="229" t="s">
        <v>163</v>
      </c>
      <c r="X22" s="230"/>
      <c r="Y22" s="208"/>
    </row>
    <row r="23" spans="1:33" ht="21" customHeight="1" x14ac:dyDescent="0.25">
      <c r="A23" s="12" t="s">
        <v>405</v>
      </c>
      <c r="B23" s="19" t="s">
        <v>404</v>
      </c>
      <c r="C23" s="187" t="s">
        <v>334</v>
      </c>
      <c r="D23" s="16" t="s">
        <v>23</v>
      </c>
      <c r="E23" s="19" t="s">
        <v>224</v>
      </c>
      <c r="F23" s="17" t="s">
        <v>27</v>
      </c>
      <c r="G23" s="237">
        <v>1</v>
      </c>
      <c r="H23" s="194" t="s">
        <v>397</v>
      </c>
      <c r="I23" s="13" t="s">
        <v>297</v>
      </c>
      <c r="J23" s="197">
        <v>42644</v>
      </c>
      <c r="K23" s="202" t="s">
        <v>27</v>
      </c>
      <c r="L23" s="44" t="s">
        <v>27</v>
      </c>
      <c r="M23" s="13" t="s">
        <v>27</v>
      </c>
      <c r="N23" s="197">
        <v>42644</v>
      </c>
      <c r="O23" s="198">
        <v>50</v>
      </c>
      <c r="P23" s="233" t="s">
        <v>169</v>
      </c>
      <c r="Q23" s="224"/>
      <c r="R23" s="224" t="s">
        <v>162</v>
      </c>
      <c r="S23" s="224">
        <v>100</v>
      </c>
      <c r="T23" s="224">
        <v>55</v>
      </c>
      <c r="U23" s="224">
        <v>130</v>
      </c>
      <c r="V23" s="224" t="s">
        <v>193</v>
      </c>
      <c r="W23" s="225" t="s">
        <v>193</v>
      </c>
      <c r="X23" s="236"/>
      <c r="Y23" s="200"/>
    </row>
    <row r="24" spans="1:33" ht="21" customHeight="1" x14ac:dyDescent="0.25">
      <c r="A24" s="12" t="s">
        <v>406</v>
      </c>
      <c r="B24" s="19" t="s">
        <v>404</v>
      </c>
      <c r="C24" s="187" t="s">
        <v>334</v>
      </c>
      <c r="D24" s="16" t="s">
        <v>23</v>
      </c>
      <c r="E24" s="19" t="s">
        <v>224</v>
      </c>
      <c r="F24" s="17" t="s">
        <v>27</v>
      </c>
      <c r="G24" s="237">
        <v>1</v>
      </c>
      <c r="H24" s="194" t="s">
        <v>397</v>
      </c>
      <c r="I24" s="13" t="s">
        <v>297</v>
      </c>
      <c r="J24" s="197">
        <v>42644</v>
      </c>
      <c r="K24" s="202" t="s">
        <v>27</v>
      </c>
      <c r="L24" s="44" t="s">
        <v>27</v>
      </c>
      <c r="M24" s="13" t="s">
        <v>27</v>
      </c>
      <c r="N24" s="197">
        <v>42644</v>
      </c>
      <c r="O24" s="198">
        <v>50</v>
      </c>
      <c r="P24" s="227" t="s">
        <v>169</v>
      </c>
      <c r="Q24" s="228"/>
      <c r="R24" s="228" t="s">
        <v>162</v>
      </c>
      <c r="S24" s="228">
        <v>180</v>
      </c>
      <c r="T24" s="228">
        <v>224</v>
      </c>
      <c r="U24" s="228">
        <v>170</v>
      </c>
      <c r="V24" s="228" t="s">
        <v>193</v>
      </c>
      <c r="W24" s="229" t="s">
        <v>193</v>
      </c>
      <c r="X24" s="238" t="s">
        <v>398</v>
      </c>
      <c r="Y24" s="200"/>
    </row>
    <row r="25" spans="1:33" ht="21" customHeight="1" x14ac:dyDescent="0.25">
      <c r="A25" s="12" t="s">
        <v>363</v>
      </c>
      <c r="B25" s="19" t="s">
        <v>364</v>
      </c>
      <c r="C25" s="187" t="s">
        <v>245</v>
      </c>
      <c r="D25" s="16" t="s">
        <v>23</v>
      </c>
      <c r="E25" s="19" t="s">
        <v>189</v>
      </c>
      <c r="F25" s="17" t="s">
        <v>27</v>
      </c>
      <c r="G25" s="193">
        <v>2</v>
      </c>
      <c r="H25" s="194" t="s">
        <v>246</v>
      </c>
      <c r="I25" s="13" t="s">
        <v>51</v>
      </c>
      <c r="J25" s="195">
        <v>43040</v>
      </c>
      <c r="K25" s="196">
        <v>1</v>
      </c>
      <c r="L25" s="194" t="s">
        <v>253</v>
      </c>
      <c r="M25" s="187" t="s">
        <v>313</v>
      </c>
      <c r="N25" s="197">
        <v>43040</v>
      </c>
      <c r="O25" s="198">
        <v>100</v>
      </c>
      <c r="P25" s="210" t="s">
        <v>169</v>
      </c>
      <c r="Q25" s="204"/>
      <c r="R25" s="204" t="s">
        <v>162</v>
      </c>
      <c r="S25" s="204">
        <v>180</v>
      </c>
      <c r="T25" s="204">
        <v>224</v>
      </c>
      <c r="U25" s="204">
        <v>170</v>
      </c>
      <c r="V25" s="204" t="s">
        <v>193</v>
      </c>
      <c r="W25" s="205" t="s">
        <v>193</v>
      </c>
      <c r="X25" s="240" t="s">
        <v>398</v>
      </c>
    </row>
    <row r="26" spans="1:33" ht="21" customHeight="1" x14ac:dyDescent="0.25">
      <c r="A26" s="12" t="s">
        <v>365</v>
      </c>
      <c r="B26" s="19" t="s">
        <v>364</v>
      </c>
      <c r="C26" s="187" t="s">
        <v>334</v>
      </c>
      <c r="D26" s="16" t="s">
        <v>23</v>
      </c>
      <c r="E26" s="19" t="s">
        <v>160</v>
      </c>
      <c r="F26" s="17" t="s">
        <v>27</v>
      </c>
      <c r="G26" s="201">
        <v>1</v>
      </c>
      <c r="H26" s="194" t="s">
        <v>330</v>
      </c>
      <c r="I26" s="13" t="s">
        <v>294</v>
      </c>
      <c r="J26" s="195">
        <v>42826</v>
      </c>
      <c r="K26" s="202" t="s">
        <v>27</v>
      </c>
      <c r="L26" s="44" t="s">
        <v>27</v>
      </c>
      <c r="M26" s="13" t="s">
        <v>27</v>
      </c>
      <c r="N26" s="197">
        <v>42826</v>
      </c>
      <c r="O26" s="198">
        <v>50</v>
      </c>
      <c r="P26" s="227" t="s">
        <v>169</v>
      </c>
      <c r="Q26" s="228"/>
      <c r="R26" s="228" t="s">
        <v>162</v>
      </c>
      <c r="S26" s="228">
        <v>148</v>
      </c>
      <c r="T26" s="228">
        <v>213</v>
      </c>
      <c r="U26" s="228">
        <v>155</v>
      </c>
      <c r="V26" s="228" t="s">
        <v>193</v>
      </c>
      <c r="W26" s="229" t="s">
        <v>193</v>
      </c>
      <c r="X26" s="242" t="s">
        <v>398</v>
      </c>
    </row>
    <row r="27" spans="1:33" ht="21" customHeight="1" x14ac:dyDescent="0.25">
      <c r="A27" s="12" t="s">
        <v>366</v>
      </c>
      <c r="B27" s="19" t="s">
        <v>364</v>
      </c>
      <c r="C27" s="187" t="s">
        <v>334</v>
      </c>
      <c r="D27" s="16" t="s">
        <v>23</v>
      </c>
      <c r="E27" s="19" t="s">
        <v>160</v>
      </c>
      <c r="F27" s="17" t="s">
        <v>27</v>
      </c>
      <c r="G27" s="201">
        <v>1</v>
      </c>
      <c r="H27" s="194" t="s">
        <v>330</v>
      </c>
      <c r="I27" s="13" t="s">
        <v>294</v>
      </c>
      <c r="J27" s="195">
        <v>42826</v>
      </c>
      <c r="K27" s="202" t="s">
        <v>27</v>
      </c>
      <c r="L27" s="44" t="s">
        <v>27</v>
      </c>
      <c r="M27" s="13" t="s">
        <v>27</v>
      </c>
      <c r="N27" s="197">
        <v>42826</v>
      </c>
      <c r="O27" s="198">
        <v>50</v>
      </c>
      <c r="P27" s="233" t="s">
        <v>169</v>
      </c>
      <c r="Q27" s="243"/>
      <c r="R27" s="243" t="s">
        <v>162</v>
      </c>
      <c r="S27" s="243">
        <v>30</v>
      </c>
      <c r="T27" s="243">
        <v>65</v>
      </c>
      <c r="U27" s="243">
        <v>70</v>
      </c>
      <c r="V27" s="243" t="s">
        <v>170</v>
      </c>
      <c r="W27" s="244" t="s">
        <v>170</v>
      </c>
      <c r="X27" s="220"/>
      <c r="Y27" s="186"/>
    </row>
    <row r="28" spans="1:33" ht="21" customHeight="1" x14ac:dyDescent="0.25">
      <c r="A28" s="12" t="s">
        <v>407</v>
      </c>
      <c r="B28" s="19" t="s">
        <v>408</v>
      </c>
      <c r="C28" s="187" t="s">
        <v>245</v>
      </c>
      <c r="D28" s="16" t="s">
        <v>23</v>
      </c>
      <c r="E28" s="19" t="s">
        <v>339</v>
      </c>
      <c r="F28" s="17" t="s">
        <v>27</v>
      </c>
      <c r="G28" s="193">
        <v>3</v>
      </c>
      <c r="H28" s="194" t="s">
        <v>246</v>
      </c>
      <c r="I28" s="13" t="s">
        <v>51</v>
      </c>
      <c r="J28" s="197">
        <v>42401</v>
      </c>
      <c r="K28" s="250">
        <v>3</v>
      </c>
      <c r="L28" s="194" t="s">
        <v>309</v>
      </c>
      <c r="M28" s="194" t="s">
        <v>310</v>
      </c>
      <c r="N28" s="197">
        <v>42401</v>
      </c>
      <c r="O28" s="198">
        <v>200</v>
      </c>
      <c r="P28" s="227" t="s">
        <v>161</v>
      </c>
      <c r="Q28" s="247" t="s">
        <v>162</v>
      </c>
      <c r="R28" s="247"/>
      <c r="S28" s="228">
        <v>2</v>
      </c>
      <c r="T28" s="247">
        <v>22</v>
      </c>
      <c r="U28" s="247">
        <v>32</v>
      </c>
      <c r="V28" s="247" t="s">
        <v>163</v>
      </c>
      <c r="W28" s="248" t="s">
        <v>163</v>
      </c>
      <c r="X28" s="249"/>
    </row>
    <row r="29" spans="1:33" ht="21" customHeight="1" x14ac:dyDescent="0.25">
      <c r="A29" s="12" t="s">
        <v>400</v>
      </c>
      <c r="B29" s="19" t="s">
        <v>401</v>
      </c>
      <c r="C29" s="187" t="s">
        <v>245</v>
      </c>
      <c r="D29" s="16" t="s">
        <v>23</v>
      </c>
      <c r="E29" s="19" t="s">
        <v>335</v>
      </c>
      <c r="F29" s="17" t="s">
        <v>336</v>
      </c>
      <c r="G29" s="193">
        <v>5</v>
      </c>
      <c r="H29" s="194" t="s">
        <v>246</v>
      </c>
      <c r="I29" s="13" t="s">
        <v>51</v>
      </c>
      <c r="J29" s="197">
        <v>42705</v>
      </c>
      <c r="K29" s="241">
        <v>2</v>
      </c>
      <c r="L29" s="194" t="s">
        <v>273</v>
      </c>
      <c r="M29" s="194" t="s">
        <v>69</v>
      </c>
      <c r="N29" s="197">
        <v>42705</v>
      </c>
      <c r="O29" s="198">
        <v>400</v>
      </c>
      <c r="P29" s="233" t="s">
        <v>161</v>
      </c>
      <c r="Q29" s="243" t="s">
        <v>162</v>
      </c>
      <c r="R29" s="243"/>
      <c r="S29" s="224">
        <v>2</v>
      </c>
      <c r="T29" s="243">
        <v>22</v>
      </c>
      <c r="U29" s="243">
        <v>32</v>
      </c>
      <c r="V29" s="243" t="s">
        <v>163</v>
      </c>
      <c r="W29" s="244" t="s">
        <v>163</v>
      </c>
      <c r="X29" s="206"/>
    </row>
    <row r="30" spans="1:33" ht="21" customHeight="1" x14ac:dyDescent="0.25">
      <c r="A30" s="12" t="s">
        <v>402</v>
      </c>
      <c r="B30" s="19" t="s">
        <v>401</v>
      </c>
      <c r="C30" s="187" t="s">
        <v>245</v>
      </c>
      <c r="D30" s="16" t="s">
        <v>23</v>
      </c>
      <c r="E30" s="19" t="s">
        <v>335</v>
      </c>
      <c r="F30" s="17" t="s">
        <v>338</v>
      </c>
      <c r="G30" s="193">
        <v>5</v>
      </c>
      <c r="H30" s="194" t="s">
        <v>246</v>
      </c>
      <c r="I30" s="13" t="s">
        <v>51</v>
      </c>
      <c r="J30" s="197">
        <v>42705</v>
      </c>
      <c r="K30" s="241">
        <v>2</v>
      </c>
      <c r="L30" s="194" t="s">
        <v>273</v>
      </c>
      <c r="M30" s="187" t="s">
        <v>69</v>
      </c>
      <c r="N30" s="197">
        <v>42705</v>
      </c>
      <c r="O30" s="198">
        <v>400</v>
      </c>
      <c r="P30" s="227" t="s">
        <v>161</v>
      </c>
      <c r="Q30" s="247" t="s">
        <v>162</v>
      </c>
      <c r="R30" s="247"/>
      <c r="S30" s="247">
        <v>28</v>
      </c>
      <c r="T30" s="247">
        <v>39.5</v>
      </c>
      <c r="U30" s="247">
        <v>88</v>
      </c>
      <c r="V30" s="247" t="s">
        <v>170</v>
      </c>
      <c r="W30" s="248" t="s">
        <v>170</v>
      </c>
      <c r="X30" s="249"/>
    </row>
    <row r="31" spans="1:33" ht="21" customHeight="1" x14ac:dyDescent="0.25">
      <c r="A31" s="12" t="s">
        <v>371</v>
      </c>
      <c r="B31" s="19" t="s">
        <v>372</v>
      </c>
      <c r="C31" s="187" t="s">
        <v>245</v>
      </c>
      <c r="D31" s="16" t="s">
        <v>23</v>
      </c>
      <c r="E31" s="19" t="s">
        <v>340</v>
      </c>
      <c r="F31" s="17" t="s">
        <v>341</v>
      </c>
      <c r="G31" s="213">
        <v>3</v>
      </c>
      <c r="H31" s="194" t="s">
        <v>41</v>
      </c>
      <c r="I31" s="13" t="s">
        <v>34</v>
      </c>
      <c r="J31" s="197">
        <v>42675</v>
      </c>
      <c r="K31" s="214">
        <v>2</v>
      </c>
      <c r="L31" s="194" t="s">
        <v>303</v>
      </c>
      <c r="M31" s="187" t="s">
        <v>304</v>
      </c>
      <c r="N31" s="197">
        <v>42675</v>
      </c>
      <c r="O31" s="198">
        <v>300</v>
      </c>
      <c r="P31" s="251" t="s">
        <v>161</v>
      </c>
      <c r="Q31" s="252" t="s">
        <v>162</v>
      </c>
      <c r="R31" s="252"/>
      <c r="S31" s="252">
        <v>80</v>
      </c>
      <c r="T31" s="252">
        <v>65</v>
      </c>
      <c r="U31" s="252">
        <v>125</v>
      </c>
      <c r="V31" s="252" t="s">
        <v>337</v>
      </c>
      <c r="W31" s="253" t="s">
        <v>337</v>
      </c>
      <c r="X31" s="230"/>
      <c r="Y31" s="208"/>
    </row>
    <row r="32" spans="1:33" ht="21" customHeight="1" x14ac:dyDescent="0.25">
      <c r="B32" s="200"/>
      <c r="C32" s="186"/>
      <c r="D32" s="37"/>
      <c r="E32" s="37"/>
      <c r="F32" s="37"/>
      <c r="G32" s="37"/>
      <c r="H32" s="254"/>
      <c r="I32" s="254"/>
      <c r="J32" s="37"/>
      <c r="K32" s="255"/>
      <c r="L32" s="256"/>
      <c r="M32" s="254"/>
      <c r="N32" s="257"/>
      <c r="P32" s="37"/>
      <c r="X32" s="208"/>
      <c r="Y32" s="208"/>
    </row>
    <row r="33" spans="2:25" ht="15" customHeight="1" x14ac:dyDescent="0.25">
      <c r="X33" s="208"/>
      <c r="Y33" s="208"/>
    </row>
    <row r="34" spans="2:25" ht="15" customHeight="1" x14ac:dyDescent="0.25">
      <c r="B34" s="33"/>
      <c r="C34" s="33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7"/>
      <c r="X34" s="208"/>
      <c r="Y34" s="208"/>
    </row>
    <row r="35" spans="2:25" ht="15" customHeight="1" x14ac:dyDescent="0.25">
      <c r="B35" s="33"/>
      <c r="C35" s="33"/>
      <c r="H35" s="3"/>
      <c r="I35" s="3"/>
      <c r="J35" s="3"/>
      <c r="K35" s="3"/>
      <c r="L35" s="3"/>
      <c r="M35" s="3"/>
      <c r="N35" s="3"/>
      <c r="O35" s="258"/>
      <c r="X35" s="208"/>
      <c r="Y35" s="208"/>
    </row>
    <row r="36" spans="2:25" ht="15" customHeight="1" x14ac:dyDescent="0.25">
      <c r="B36" s="33"/>
      <c r="C36" s="33"/>
      <c r="H36" s="33"/>
      <c r="I36" s="33"/>
      <c r="J36" s="33"/>
      <c r="K36" s="33"/>
      <c r="L36" s="33"/>
      <c r="M36" s="33"/>
      <c r="N36" s="33"/>
      <c r="O36" s="9"/>
      <c r="P36" s="38"/>
      <c r="Q36" s="38"/>
      <c r="R36" s="38"/>
      <c r="X36" s="208"/>
      <c r="Y36" s="208"/>
    </row>
    <row r="37" spans="2:25" ht="15" customHeight="1" x14ac:dyDescent="0.25">
      <c r="B37" s="33"/>
      <c r="C37" s="33"/>
      <c r="H37" s="33"/>
      <c r="I37" s="33"/>
      <c r="J37" s="33"/>
      <c r="K37" s="33"/>
      <c r="L37" s="33"/>
      <c r="M37" s="33"/>
      <c r="N37" s="33"/>
      <c r="O37" s="9"/>
      <c r="P37" s="3"/>
      <c r="Q37" s="3"/>
      <c r="X37" s="208"/>
      <c r="Y37" s="208"/>
    </row>
    <row r="38" spans="2:25" ht="21" customHeight="1" x14ac:dyDescent="0.25">
      <c r="B38" s="33"/>
      <c r="C38" s="33"/>
      <c r="H38" s="33"/>
      <c r="I38" s="33"/>
      <c r="J38" s="33"/>
      <c r="K38" s="33"/>
      <c r="L38" s="33"/>
      <c r="M38" s="33"/>
      <c r="N38" s="33"/>
      <c r="O38" s="9"/>
    </row>
    <row r="39" spans="2:25" ht="21" customHeight="1" x14ac:dyDescent="0.3">
      <c r="B39" s="33"/>
      <c r="C39" s="33"/>
      <c r="G39" s="2"/>
      <c r="H39" s="33"/>
      <c r="I39" s="33"/>
      <c r="J39" s="33"/>
      <c r="K39" s="33"/>
      <c r="L39" s="33"/>
      <c r="M39" s="33"/>
      <c r="N39" s="33"/>
      <c r="O39" s="9"/>
    </row>
    <row r="40" spans="2:25" ht="21" customHeight="1" x14ac:dyDescent="0.3">
      <c r="B40" s="33"/>
      <c r="C40" s="33"/>
      <c r="G40" s="2"/>
      <c r="H40" s="33"/>
      <c r="I40" s="33"/>
      <c r="J40" s="33"/>
      <c r="K40" s="33"/>
      <c r="L40" s="33"/>
      <c r="M40" s="33"/>
      <c r="N40" s="33"/>
      <c r="O40" s="9"/>
    </row>
    <row r="41" spans="2:25" ht="21" customHeight="1" x14ac:dyDescent="0.3">
      <c r="B41" s="33"/>
      <c r="C41" s="33"/>
      <c r="G41" s="2"/>
      <c r="H41" s="33"/>
      <c r="I41" s="33"/>
      <c r="J41" s="33"/>
      <c r="K41" s="33"/>
      <c r="L41" s="33"/>
      <c r="M41" s="33"/>
      <c r="N41" s="33"/>
      <c r="O41" s="9"/>
    </row>
    <row r="42" spans="2:25" ht="21" customHeight="1" x14ac:dyDescent="0.3">
      <c r="B42" s="33"/>
      <c r="C42" s="33"/>
      <c r="G42" s="2"/>
      <c r="H42" s="33"/>
      <c r="I42" s="33"/>
      <c r="J42" s="33"/>
      <c r="K42" s="33"/>
      <c r="L42" s="33"/>
      <c r="M42" s="33"/>
      <c r="N42" s="33"/>
      <c r="O42" s="9"/>
    </row>
    <row r="43" spans="2:25" ht="21" customHeight="1" x14ac:dyDescent="0.3">
      <c r="B43" s="33"/>
      <c r="C43" s="33"/>
      <c r="G43" s="2"/>
      <c r="H43" s="33"/>
      <c r="I43" s="33"/>
      <c r="J43" s="37"/>
      <c r="K43" s="37"/>
      <c r="L43" s="37"/>
      <c r="M43" s="37"/>
      <c r="N43" s="37"/>
      <c r="O43" s="9"/>
    </row>
    <row r="44" spans="2:25" ht="21" customHeight="1" x14ac:dyDescent="0.3">
      <c r="B44" s="33"/>
      <c r="C44" s="33"/>
      <c r="F44" s="4"/>
      <c r="G44" s="2"/>
      <c r="H44" s="33"/>
      <c r="I44" s="33"/>
      <c r="J44" s="33"/>
      <c r="K44" s="33"/>
      <c r="L44" s="33"/>
      <c r="M44" s="33"/>
      <c r="N44" s="33"/>
      <c r="O44" s="9"/>
    </row>
    <row r="45" spans="2:25" ht="21" customHeight="1" x14ac:dyDescent="0.3">
      <c r="B45" s="33"/>
      <c r="C45" s="33"/>
      <c r="F45" s="1"/>
      <c r="G45" s="2"/>
      <c r="H45" s="33"/>
      <c r="I45" s="33"/>
      <c r="J45" s="33"/>
      <c r="K45" s="33"/>
      <c r="L45" s="33"/>
      <c r="M45" s="33"/>
      <c r="N45" s="33"/>
    </row>
    <row r="46" spans="2:25" ht="21" customHeight="1" x14ac:dyDescent="0.3">
      <c r="B46" s="33"/>
      <c r="C46" s="33"/>
      <c r="G46" s="2"/>
      <c r="H46" s="33"/>
      <c r="I46" s="33"/>
      <c r="J46" s="33"/>
      <c r="K46" s="33"/>
      <c r="L46" s="33"/>
      <c r="M46" s="33"/>
      <c r="N46" s="33"/>
    </row>
    <row r="47" spans="2:25" ht="21" customHeight="1" x14ac:dyDescent="0.25">
      <c r="B47" s="33"/>
      <c r="C47" s="33"/>
      <c r="H47" s="33"/>
      <c r="I47" s="33"/>
      <c r="J47" s="33"/>
      <c r="K47" s="33"/>
      <c r="L47" s="33"/>
      <c r="M47" s="33"/>
      <c r="N47" s="33"/>
    </row>
    <row r="48" spans="2:25" ht="21" customHeight="1" x14ac:dyDescent="0.25">
      <c r="B48" s="33"/>
      <c r="C48" s="33"/>
      <c r="H48" s="33"/>
      <c r="I48" s="33"/>
      <c r="J48" s="33"/>
      <c r="K48" s="33"/>
      <c r="L48" s="33"/>
      <c r="M48" s="33"/>
      <c r="N48" s="33"/>
    </row>
    <row r="49" spans="24:25" s="33" customFormat="1" ht="21" customHeight="1" x14ac:dyDescent="0.25">
      <c r="X49" s="5"/>
      <c r="Y49" s="5"/>
    </row>
    <row r="50" spans="24:25" s="33" customFormat="1" ht="21" customHeight="1" x14ac:dyDescent="0.25">
      <c r="X50" s="5"/>
      <c r="Y50" s="5"/>
    </row>
    <row r="51" spans="24:25" s="33" customFormat="1" ht="21" customHeight="1" x14ac:dyDescent="0.25">
      <c r="X51" s="5"/>
      <c r="Y51" s="5"/>
    </row>
    <row r="52" spans="24:25" s="33" customFormat="1" ht="21" customHeight="1" x14ac:dyDescent="0.25">
      <c r="X52" s="5"/>
      <c r="Y52" s="5"/>
    </row>
    <row r="53" spans="24:25" s="33" customFormat="1" ht="21" customHeight="1" x14ac:dyDescent="0.25">
      <c r="X53" s="5"/>
      <c r="Y53" s="5"/>
    </row>
    <row r="54" spans="24:25" s="33" customFormat="1" ht="21" customHeight="1" x14ac:dyDescent="0.25">
      <c r="X54" s="5"/>
      <c r="Y54" s="5"/>
    </row>
    <row r="55" spans="24:25" s="33" customFormat="1" ht="21" customHeight="1" x14ac:dyDescent="0.25">
      <c r="X55" s="5"/>
      <c r="Y55" s="5"/>
    </row>
    <row r="56" spans="24:25" s="33" customFormat="1" ht="21" customHeight="1" x14ac:dyDescent="0.25">
      <c r="X56" s="5"/>
      <c r="Y56" s="5"/>
    </row>
    <row r="57" spans="24:25" s="33" customFormat="1" ht="21" customHeight="1" x14ac:dyDescent="0.25">
      <c r="X57" s="5"/>
      <c r="Y57" s="5"/>
    </row>
    <row r="58" spans="24:25" s="33" customFormat="1" ht="21" customHeight="1" x14ac:dyDescent="0.25">
      <c r="X58" s="5"/>
      <c r="Y58" s="5"/>
    </row>
    <row r="59" spans="24:25" s="33" customFormat="1" ht="21" customHeight="1" x14ac:dyDescent="0.25">
      <c r="X59" s="5"/>
      <c r="Y59" s="5"/>
    </row>
    <row r="60" spans="24:25" s="33" customFormat="1" ht="21" customHeight="1" x14ac:dyDescent="0.25">
      <c r="X60" s="5"/>
      <c r="Y60" s="5"/>
    </row>
    <row r="61" spans="24:25" s="33" customFormat="1" ht="21" customHeight="1" x14ac:dyDescent="0.25">
      <c r="X61" s="5"/>
      <c r="Y61" s="5"/>
    </row>
    <row r="62" spans="24:25" s="33" customFormat="1" ht="21" customHeight="1" x14ac:dyDescent="0.25">
      <c r="X62" s="5"/>
      <c r="Y62" s="5"/>
    </row>
    <row r="63" spans="24:25" s="33" customFormat="1" ht="21" customHeight="1" x14ac:dyDescent="0.25">
      <c r="X63" s="5"/>
      <c r="Y63" s="5"/>
    </row>
    <row r="64" spans="24:25" s="33" customFormat="1" ht="21" customHeight="1" x14ac:dyDescent="0.25">
      <c r="X64" s="5"/>
      <c r="Y64" s="5"/>
    </row>
    <row r="65" spans="24:25" s="33" customFormat="1" ht="21" customHeight="1" x14ac:dyDescent="0.25">
      <c r="X65" s="5"/>
      <c r="Y65" s="5"/>
    </row>
    <row r="66" spans="24:25" s="33" customFormat="1" ht="21" customHeight="1" x14ac:dyDescent="0.25">
      <c r="X66" s="5"/>
      <c r="Y66" s="5"/>
    </row>
    <row r="67" spans="24:25" s="33" customFormat="1" ht="21" customHeight="1" x14ac:dyDescent="0.25">
      <c r="X67" s="5"/>
      <c r="Y67" s="5"/>
    </row>
    <row r="68" spans="24:25" s="33" customFormat="1" ht="21" customHeight="1" x14ac:dyDescent="0.25">
      <c r="X68" s="5"/>
      <c r="Y68" s="5"/>
    </row>
    <row r="69" spans="24:25" s="33" customFormat="1" ht="21" customHeight="1" x14ac:dyDescent="0.25">
      <c r="X69" s="5"/>
      <c r="Y69" s="5"/>
    </row>
    <row r="70" spans="24:25" s="33" customFormat="1" ht="21" customHeight="1" x14ac:dyDescent="0.25">
      <c r="X70" s="5"/>
      <c r="Y70" s="5"/>
    </row>
    <row r="71" spans="24:25" s="33" customFormat="1" ht="21" customHeight="1" x14ac:dyDescent="0.25">
      <c r="X71" s="5"/>
      <c r="Y71" s="5"/>
    </row>
    <row r="72" spans="24:25" s="33" customFormat="1" ht="21" customHeight="1" x14ac:dyDescent="0.25">
      <c r="X72" s="5"/>
      <c r="Y72" s="5"/>
    </row>
    <row r="73" spans="24:25" s="33" customFormat="1" ht="21" customHeight="1" x14ac:dyDescent="0.25">
      <c r="X73" s="5"/>
      <c r="Y73" s="5"/>
    </row>
    <row r="74" spans="24:25" s="33" customFormat="1" ht="21" customHeight="1" x14ac:dyDescent="0.25">
      <c r="X74" s="5"/>
      <c r="Y74" s="5"/>
    </row>
    <row r="75" spans="24:25" s="33" customFormat="1" ht="21" customHeight="1" x14ac:dyDescent="0.25">
      <c r="X75" s="5"/>
      <c r="Y75" s="5"/>
    </row>
    <row r="76" spans="24:25" s="33" customFormat="1" ht="21" customHeight="1" x14ac:dyDescent="0.25">
      <c r="X76" s="5"/>
      <c r="Y76" s="5"/>
    </row>
    <row r="77" spans="24:25" s="33" customFormat="1" ht="21" customHeight="1" x14ac:dyDescent="0.25">
      <c r="X77" s="5"/>
      <c r="Y77" s="5"/>
    </row>
    <row r="78" spans="24:25" s="33" customFormat="1" ht="21" customHeight="1" x14ac:dyDescent="0.25">
      <c r="X78" s="5"/>
      <c r="Y78" s="5"/>
    </row>
    <row r="79" spans="24:25" s="33" customFormat="1" ht="21" customHeight="1" x14ac:dyDescent="0.25">
      <c r="X79" s="5"/>
      <c r="Y79" s="5"/>
    </row>
    <row r="80" spans="24:25" s="33" customFormat="1" ht="21" customHeight="1" x14ac:dyDescent="0.25">
      <c r="X80" s="5"/>
      <c r="Y80" s="5"/>
    </row>
    <row r="81" spans="24:25" s="33" customFormat="1" ht="21" customHeight="1" x14ac:dyDescent="0.25">
      <c r="X81" s="5"/>
      <c r="Y81" s="5"/>
    </row>
    <row r="82" spans="24:25" s="33" customFormat="1" ht="21" customHeight="1" x14ac:dyDescent="0.25">
      <c r="X82" s="5"/>
      <c r="Y82" s="5"/>
    </row>
    <row r="83" spans="24:25" s="33" customFormat="1" ht="21" customHeight="1" x14ac:dyDescent="0.25">
      <c r="X83" s="5"/>
      <c r="Y83" s="5"/>
    </row>
    <row r="84" spans="24:25" s="33" customFormat="1" ht="21" customHeight="1" x14ac:dyDescent="0.25">
      <c r="X84" s="5"/>
      <c r="Y84" s="5"/>
    </row>
    <row r="85" spans="24:25" s="33" customFormat="1" ht="21" customHeight="1" x14ac:dyDescent="0.25">
      <c r="X85" s="5"/>
      <c r="Y85" s="5"/>
    </row>
    <row r="86" spans="24:25" s="33" customFormat="1" ht="21" customHeight="1" x14ac:dyDescent="0.25">
      <c r="X86" s="5"/>
      <c r="Y86" s="5"/>
    </row>
    <row r="87" spans="24:25" s="33" customFormat="1" ht="21" customHeight="1" x14ac:dyDescent="0.25">
      <c r="X87" s="5"/>
      <c r="Y87" s="5"/>
    </row>
    <row r="88" spans="24:25" s="33" customFormat="1" ht="21" customHeight="1" x14ac:dyDescent="0.25">
      <c r="X88" s="5"/>
      <c r="Y88" s="5"/>
    </row>
    <row r="89" spans="24:25" s="33" customFormat="1" ht="21" customHeight="1" x14ac:dyDescent="0.25">
      <c r="X89" s="5"/>
      <c r="Y89" s="5"/>
    </row>
    <row r="90" spans="24:25" s="33" customFormat="1" ht="21" customHeight="1" x14ac:dyDescent="0.25">
      <c r="X90" s="5"/>
      <c r="Y90" s="5"/>
    </row>
    <row r="91" spans="24:25" s="33" customFormat="1" ht="21" customHeight="1" x14ac:dyDescent="0.25">
      <c r="X91" s="5"/>
      <c r="Y91" s="5"/>
    </row>
    <row r="92" spans="24:25" s="33" customFormat="1" ht="21" customHeight="1" x14ac:dyDescent="0.25">
      <c r="X92" s="5"/>
      <c r="Y92" s="5"/>
    </row>
    <row r="93" spans="24:25" s="33" customFormat="1" ht="21" customHeight="1" x14ac:dyDescent="0.25">
      <c r="X93" s="5"/>
      <c r="Y93" s="5"/>
    </row>
    <row r="94" spans="24:25" s="33" customFormat="1" ht="21" customHeight="1" x14ac:dyDescent="0.25">
      <c r="X94" s="5"/>
      <c r="Y94" s="5"/>
    </row>
    <row r="95" spans="24:25" s="33" customFormat="1" ht="21" customHeight="1" x14ac:dyDescent="0.25">
      <c r="X95" s="5"/>
      <c r="Y95" s="5"/>
    </row>
    <row r="96" spans="24:25" s="33" customFormat="1" ht="21" customHeight="1" x14ac:dyDescent="0.25">
      <c r="X96" s="5"/>
      <c r="Y96" s="5"/>
    </row>
    <row r="97" spans="24:25" s="33" customFormat="1" ht="21" customHeight="1" x14ac:dyDescent="0.25">
      <c r="X97" s="5"/>
      <c r="Y97" s="5"/>
    </row>
    <row r="98" spans="24:25" s="33" customFormat="1" ht="21" customHeight="1" x14ac:dyDescent="0.25">
      <c r="X98" s="5"/>
      <c r="Y98" s="5"/>
    </row>
    <row r="99" spans="24:25" s="33" customFormat="1" ht="21" customHeight="1" x14ac:dyDescent="0.25">
      <c r="X99" s="5"/>
      <c r="Y99" s="5"/>
    </row>
    <row r="100" spans="24:25" s="33" customFormat="1" ht="21" customHeight="1" x14ac:dyDescent="0.25">
      <c r="X100" s="5"/>
      <c r="Y100" s="5"/>
    </row>
    <row r="101" spans="24:25" s="33" customFormat="1" ht="21" customHeight="1" x14ac:dyDescent="0.25">
      <c r="X101" s="5"/>
      <c r="Y101" s="5"/>
    </row>
    <row r="102" spans="24:25" s="33" customFormat="1" ht="21" customHeight="1" x14ac:dyDescent="0.25">
      <c r="X102" s="5"/>
      <c r="Y102" s="5"/>
    </row>
    <row r="103" spans="24:25" s="33" customFormat="1" ht="21" customHeight="1" x14ac:dyDescent="0.25">
      <c r="X103" s="5"/>
      <c r="Y103" s="5"/>
    </row>
    <row r="104" spans="24:25" s="33" customFormat="1" ht="21" customHeight="1" x14ac:dyDescent="0.25">
      <c r="X104" s="5"/>
      <c r="Y104" s="5"/>
    </row>
    <row r="105" spans="24:25" s="33" customFormat="1" ht="21" customHeight="1" x14ac:dyDescent="0.25">
      <c r="X105" s="5"/>
      <c r="Y105" s="5"/>
    </row>
    <row r="106" spans="24:25" s="33" customFormat="1" ht="21" customHeight="1" x14ac:dyDescent="0.25">
      <c r="X106" s="5"/>
      <c r="Y106" s="5"/>
    </row>
    <row r="107" spans="24:25" s="33" customFormat="1" ht="21" customHeight="1" x14ac:dyDescent="0.25">
      <c r="X107" s="5"/>
      <c r="Y107" s="5"/>
    </row>
    <row r="108" spans="24:25" s="33" customFormat="1" ht="21" customHeight="1" x14ac:dyDescent="0.25">
      <c r="X108" s="5"/>
      <c r="Y108" s="5"/>
    </row>
    <row r="109" spans="24:25" s="33" customFormat="1" ht="21" customHeight="1" x14ac:dyDescent="0.25">
      <c r="X109" s="5"/>
      <c r="Y109" s="5"/>
    </row>
    <row r="110" spans="24:25" s="33" customFormat="1" ht="21" customHeight="1" x14ac:dyDescent="0.25">
      <c r="X110" s="5"/>
      <c r="Y110" s="5"/>
    </row>
    <row r="111" spans="24:25" s="33" customFormat="1" ht="21" customHeight="1" x14ac:dyDescent="0.25">
      <c r="X111" s="5"/>
      <c r="Y111" s="5"/>
    </row>
    <row r="112" spans="24:25" s="33" customFormat="1" ht="21" customHeight="1" x14ac:dyDescent="0.25">
      <c r="X112" s="5"/>
      <c r="Y112" s="5"/>
    </row>
    <row r="113" spans="2:14" ht="21" customHeight="1" x14ac:dyDescent="0.25">
      <c r="B113" s="33"/>
      <c r="C113" s="33"/>
      <c r="H113" s="33"/>
      <c r="I113" s="33"/>
      <c r="J113" s="33"/>
      <c r="K113" s="33"/>
      <c r="L113" s="33"/>
      <c r="M113" s="33"/>
      <c r="N113" s="33"/>
    </row>
    <row r="114" spans="2:14" ht="21" customHeight="1" x14ac:dyDescent="0.25">
      <c r="B114" s="33"/>
      <c r="C114" s="33"/>
      <c r="H114" s="33"/>
      <c r="I114" s="33"/>
      <c r="J114" s="33"/>
      <c r="K114" s="33"/>
      <c r="L114" s="33"/>
      <c r="M114" s="33"/>
      <c r="N114" s="33"/>
    </row>
    <row r="115" spans="2:14" ht="21" customHeight="1" x14ac:dyDescent="0.25"/>
    <row r="116" spans="2:14" ht="21" customHeight="1" x14ac:dyDescent="0.25"/>
    <row r="117" spans="2:14" ht="21" customHeight="1" x14ac:dyDescent="0.25"/>
    <row r="118" spans="2:14" ht="21" customHeight="1" x14ac:dyDescent="0.25"/>
    <row r="119" spans="2:14" ht="21" customHeight="1" x14ac:dyDescent="0.25"/>
    <row r="120" spans="2:14" ht="21" customHeight="1" x14ac:dyDescent="0.25"/>
    <row r="121" spans="2:14" ht="21" customHeight="1" x14ac:dyDescent="0.25"/>
    <row r="122" spans="2:14" ht="21" customHeight="1" x14ac:dyDescent="0.25"/>
    <row r="123" spans="2:14" ht="21" customHeight="1" x14ac:dyDescent="0.25"/>
    <row r="124" spans="2:14" ht="21" customHeight="1" x14ac:dyDescent="0.25"/>
    <row r="125" spans="2:14" ht="21" customHeight="1" x14ac:dyDescent="0.25"/>
    <row r="126" spans="2:14" ht="21" customHeight="1" x14ac:dyDescent="0.25"/>
    <row r="127" spans="2:14" ht="21" customHeight="1" x14ac:dyDescent="0.25"/>
    <row r="128" spans="2:14" ht="21" customHeight="1" x14ac:dyDescent="0.25"/>
    <row r="129" ht="21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21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1" customHeight="1" x14ac:dyDescent="0.25"/>
    <row r="184" ht="21" customHeight="1" x14ac:dyDescent="0.25"/>
    <row r="185" ht="21" customHeight="1" x14ac:dyDescent="0.25"/>
    <row r="186" ht="21" customHeight="1" x14ac:dyDescent="0.25"/>
    <row r="187" ht="21" customHeight="1" x14ac:dyDescent="0.25"/>
    <row r="188" ht="21" customHeight="1" x14ac:dyDescent="0.25"/>
    <row r="189" ht="21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  <row r="201" ht="21" customHeight="1" x14ac:dyDescent="0.25"/>
    <row r="202" ht="21" customHeight="1" x14ac:dyDescent="0.25"/>
    <row r="203" ht="21" customHeight="1" x14ac:dyDescent="0.25"/>
    <row r="204" ht="21" customHeight="1" x14ac:dyDescent="0.25"/>
    <row r="205" ht="21" customHeight="1" x14ac:dyDescent="0.25"/>
    <row r="206" ht="21" customHeight="1" x14ac:dyDescent="0.25"/>
    <row r="207" ht="21" customHeight="1" x14ac:dyDescent="0.25"/>
    <row r="208" ht="21" customHeight="1" x14ac:dyDescent="0.25"/>
    <row r="209" ht="21" customHeight="1" x14ac:dyDescent="0.25"/>
    <row r="210" ht="21" customHeight="1" x14ac:dyDescent="0.25"/>
    <row r="211" ht="21" customHeight="1" x14ac:dyDescent="0.25"/>
    <row r="212" ht="21" customHeight="1" x14ac:dyDescent="0.25"/>
    <row r="213" ht="21" customHeight="1" x14ac:dyDescent="0.25"/>
    <row r="214" ht="21" customHeight="1" x14ac:dyDescent="0.25"/>
    <row r="215" ht="21" customHeight="1" x14ac:dyDescent="0.25"/>
    <row r="216" ht="21" customHeight="1" x14ac:dyDescent="0.25"/>
    <row r="217" ht="21" customHeight="1" x14ac:dyDescent="0.25"/>
    <row r="218" ht="21" customHeight="1" x14ac:dyDescent="0.25"/>
    <row r="219" ht="21" customHeight="1" x14ac:dyDescent="0.25"/>
    <row r="220" ht="21" customHeight="1" x14ac:dyDescent="0.25"/>
    <row r="221" ht="21" customHeight="1" x14ac:dyDescent="0.25"/>
    <row r="222" ht="21" customHeight="1" x14ac:dyDescent="0.25"/>
    <row r="223" ht="21" customHeight="1" x14ac:dyDescent="0.25"/>
    <row r="224" ht="21" customHeight="1" x14ac:dyDescent="0.25"/>
    <row r="225" ht="21" customHeight="1" x14ac:dyDescent="0.25"/>
    <row r="226" ht="21" customHeight="1" x14ac:dyDescent="0.25"/>
    <row r="227" ht="21" customHeight="1" x14ac:dyDescent="0.25"/>
    <row r="228" ht="21" customHeight="1" x14ac:dyDescent="0.25"/>
    <row r="229" ht="21" customHeight="1" x14ac:dyDescent="0.25"/>
    <row r="230" ht="21" customHeight="1" x14ac:dyDescent="0.25"/>
    <row r="231" ht="21" customHeight="1" x14ac:dyDescent="0.25"/>
    <row r="232" ht="21" customHeight="1" x14ac:dyDescent="0.25"/>
    <row r="233" ht="21" customHeight="1" x14ac:dyDescent="0.25"/>
    <row r="234" ht="21" customHeight="1" x14ac:dyDescent="0.25"/>
    <row r="235" ht="21" customHeight="1" x14ac:dyDescent="0.25"/>
    <row r="236" ht="21" customHeight="1" x14ac:dyDescent="0.25"/>
    <row r="237" ht="21" customHeight="1" x14ac:dyDescent="0.25"/>
    <row r="238" ht="21" customHeight="1" x14ac:dyDescent="0.25"/>
    <row r="239" ht="21" customHeight="1" x14ac:dyDescent="0.25"/>
    <row r="240" ht="21" customHeight="1" x14ac:dyDescent="0.25"/>
    <row r="241" ht="21" customHeight="1" x14ac:dyDescent="0.25"/>
    <row r="242" ht="21" customHeight="1" x14ac:dyDescent="0.25"/>
    <row r="243" ht="21" customHeight="1" x14ac:dyDescent="0.25"/>
    <row r="244" ht="21" customHeight="1" x14ac:dyDescent="0.25"/>
    <row r="245" ht="21" customHeight="1" x14ac:dyDescent="0.25"/>
    <row r="246" ht="21" customHeight="1" x14ac:dyDescent="0.25"/>
    <row r="247" ht="21" customHeight="1" x14ac:dyDescent="0.25"/>
    <row r="248" ht="21" customHeight="1" x14ac:dyDescent="0.25"/>
    <row r="249" ht="21" customHeight="1" x14ac:dyDescent="0.25"/>
    <row r="250" ht="21" customHeight="1" x14ac:dyDescent="0.25"/>
    <row r="251" ht="21" customHeight="1" x14ac:dyDescent="0.25"/>
    <row r="252" ht="21" customHeight="1" x14ac:dyDescent="0.25"/>
    <row r="253" ht="21" customHeight="1" x14ac:dyDescent="0.25"/>
    <row r="254" ht="21" customHeight="1" x14ac:dyDescent="0.25"/>
    <row r="255" ht="21" customHeight="1" x14ac:dyDescent="0.25"/>
    <row r="256" ht="21" customHeight="1" x14ac:dyDescent="0.25"/>
    <row r="257" ht="21" customHeight="1" x14ac:dyDescent="0.25"/>
    <row r="258" ht="21" customHeight="1" x14ac:dyDescent="0.25"/>
    <row r="259" ht="21" customHeight="1" x14ac:dyDescent="0.25"/>
    <row r="260" ht="21" customHeight="1" x14ac:dyDescent="0.25"/>
    <row r="261" ht="21" customHeight="1" x14ac:dyDescent="0.25"/>
    <row r="262" ht="21" customHeight="1" x14ac:dyDescent="0.25"/>
    <row r="263" ht="21" customHeight="1" x14ac:dyDescent="0.25"/>
    <row r="264" ht="21" customHeight="1" x14ac:dyDescent="0.25"/>
    <row r="265" ht="21" customHeight="1" x14ac:dyDescent="0.25"/>
    <row r="266" ht="21" customHeight="1" x14ac:dyDescent="0.25"/>
    <row r="267" ht="21" customHeight="1" x14ac:dyDescent="0.25"/>
    <row r="268" ht="21" customHeight="1" x14ac:dyDescent="0.25"/>
    <row r="269" ht="21" customHeight="1" x14ac:dyDescent="0.25"/>
    <row r="270" ht="21" customHeight="1" x14ac:dyDescent="0.25"/>
    <row r="271" ht="21" customHeight="1" x14ac:dyDescent="0.25"/>
    <row r="272" ht="21" customHeight="1" x14ac:dyDescent="0.25"/>
    <row r="273" ht="21" customHeight="1" x14ac:dyDescent="0.25"/>
    <row r="274" ht="21" customHeight="1" x14ac:dyDescent="0.25"/>
    <row r="275" ht="21" customHeight="1" x14ac:dyDescent="0.25"/>
    <row r="276" ht="21" customHeight="1" x14ac:dyDescent="0.25"/>
    <row r="277" ht="21" customHeight="1" x14ac:dyDescent="0.25"/>
    <row r="278" ht="21" customHeight="1" x14ac:dyDescent="0.25"/>
    <row r="279" ht="21" customHeight="1" x14ac:dyDescent="0.25"/>
    <row r="280" ht="21" customHeight="1" x14ac:dyDescent="0.25"/>
    <row r="281" ht="21" customHeight="1" x14ac:dyDescent="0.25"/>
    <row r="282" ht="21" customHeight="1" x14ac:dyDescent="0.25"/>
    <row r="283" ht="21" customHeight="1" x14ac:dyDescent="0.25"/>
    <row r="284" ht="21" customHeight="1" x14ac:dyDescent="0.25"/>
    <row r="285" ht="21" customHeight="1" x14ac:dyDescent="0.25"/>
    <row r="286" ht="21" customHeight="1" x14ac:dyDescent="0.25"/>
    <row r="287" ht="21" customHeight="1" x14ac:dyDescent="0.25"/>
    <row r="288" ht="21" customHeight="1" x14ac:dyDescent="0.25"/>
    <row r="289" ht="21" customHeight="1" x14ac:dyDescent="0.25"/>
    <row r="290" ht="21" customHeight="1" x14ac:dyDescent="0.25"/>
    <row r="291" ht="21" customHeight="1" x14ac:dyDescent="0.25"/>
    <row r="292" ht="21" customHeight="1" x14ac:dyDescent="0.25"/>
    <row r="293" ht="21" customHeight="1" x14ac:dyDescent="0.25"/>
    <row r="294" ht="21" customHeight="1" x14ac:dyDescent="0.25"/>
    <row r="295" ht="21" customHeight="1" x14ac:dyDescent="0.25"/>
    <row r="296" ht="21" customHeight="1" x14ac:dyDescent="0.25"/>
    <row r="297" ht="21" customHeight="1" x14ac:dyDescent="0.25"/>
    <row r="298" ht="21" customHeight="1" x14ac:dyDescent="0.25"/>
    <row r="299" ht="21" customHeight="1" x14ac:dyDescent="0.25"/>
    <row r="300" ht="21" customHeight="1" x14ac:dyDescent="0.25"/>
    <row r="301" ht="21" customHeight="1" x14ac:dyDescent="0.25"/>
    <row r="302" ht="21" customHeight="1" x14ac:dyDescent="0.25"/>
    <row r="303" ht="21" customHeight="1" x14ac:dyDescent="0.25"/>
    <row r="304" ht="21" customHeight="1" x14ac:dyDescent="0.25"/>
    <row r="305" ht="21" customHeight="1" x14ac:dyDescent="0.25"/>
    <row r="306" ht="21" customHeight="1" x14ac:dyDescent="0.25"/>
    <row r="307" ht="21" customHeight="1" x14ac:dyDescent="0.25"/>
    <row r="308" ht="21" customHeight="1" x14ac:dyDescent="0.25"/>
    <row r="309" ht="21" customHeight="1" x14ac:dyDescent="0.25"/>
    <row r="310" ht="21" customHeight="1" x14ac:dyDescent="0.25"/>
    <row r="311" ht="21" customHeight="1" x14ac:dyDescent="0.25"/>
    <row r="312" ht="21" customHeight="1" x14ac:dyDescent="0.25"/>
    <row r="313" ht="21" customHeight="1" x14ac:dyDescent="0.25"/>
    <row r="314" ht="21" customHeight="1" x14ac:dyDescent="0.25"/>
    <row r="315" ht="21" customHeight="1" x14ac:dyDescent="0.25"/>
    <row r="316" ht="21" customHeight="1" x14ac:dyDescent="0.25"/>
    <row r="317" ht="21" customHeight="1" x14ac:dyDescent="0.25"/>
    <row r="318" ht="21" customHeight="1" x14ac:dyDescent="0.25"/>
    <row r="319" ht="21" customHeight="1" x14ac:dyDescent="0.25"/>
    <row r="320" ht="21" customHeight="1" x14ac:dyDescent="0.25"/>
    <row r="321" ht="21" customHeight="1" x14ac:dyDescent="0.25"/>
    <row r="322" ht="21" customHeight="1" x14ac:dyDescent="0.25"/>
    <row r="323" ht="21" customHeight="1" x14ac:dyDescent="0.25"/>
    <row r="324" ht="21" customHeight="1" x14ac:dyDescent="0.25"/>
    <row r="325" ht="21" customHeight="1" x14ac:dyDescent="0.25"/>
    <row r="326" ht="21" customHeight="1" x14ac:dyDescent="0.25"/>
    <row r="327" ht="21" customHeight="1" x14ac:dyDescent="0.25"/>
    <row r="328" ht="21" customHeight="1" x14ac:dyDescent="0.25"/>
    <row r="329" ht="21" customHeight="1" x14ac:dyDescent="0.25"/>
    <row r="330" ht="21" customHeight="1" x14ac:dyDescent="0.25"/>
    <row r="331" ht="21" customHeight="1" x14ac:dyDescent="0.25"/>
    <row r="332" ht="21" customHeight="1" x14ac:dyDescent="0.25"/>
    <row r="333" ht="21" customHeight="1" x14ac:dyDescent="0.25"/>
    <row r="334" ht="21" customHeight="1" x14ac:dyDescent="0.25"/>
    <row r="335" ht="21" customHeight="1" x14ac:dyDescent="0.25"/>
    <row r="336" ht="21" customHeight="1" x14ac:dyDescent="0.25"/>
    <row r="337" ht="21" customHeight="1" x14ac:dyDescent="0.25"/>
    <row r="338" ht="21" customHeight="1" x14ac:dyDescent="0.25"/>
    <row r="339" ht="21" customHeight="1" x14ac:dyDescent="0.25"/>
    <row r="340" ht="21" customHeight="1" x14ac:dyDescent="0.25"/>
    <row r="341" ht="21" customHeight="1" x14ac:dyDescent="0.25"/>
    <row r="342" ht="21" customHeight="1" x14ac:dyDescent="0.25"/>
    <row r="343" ht="21" customHeight="1" x14ac:dyDescent="0.25"/>
    <row r="344" ht="21" customHeight="1" x14ac:dyDescent="0.25"/>
    <row r="345" ht="21" customHeight="1" x14ac:dyDescent="0.25"/>
    <row r="346" ht="21" customHeight="1" x14ac:dyDescent="0.25"/>
    <row r="347" ht="21" customHeight="1" x14ac:dyDescent="0.25"/>
    <row r="348" ht="21" customHeight="1" x14ac:dyDescent="0.25"/>
    <row r="349" ht="21" customHeight="1" x14ac:dyDescent="0.25"/>
    <row r="350" ht="21" customHeight="1" x14ac:dyDescent="0.25"/>
    <row r="351" ht="21" customHeight="1" x14ac:dyDescent="0.25"/>
    <row r="352" ht="21" customHeight="1" x14ac:dyDescent="0.25"/>
    <row r="353" ht="21" customHeight="1" x14ac:dyDescent="0.25"/>
    <row r="354" ht="21" customHeight="1" x14ac:dyDescent="0.25"/>
    <row r="355" ht="21" customHeight="1" x14ac:dyDescent="0.25"/>
    <row r="356" ht="21" customHeight="1" x14ac:dyDescent="0.25"/>
    <row r="357" ht="21" customHeight="1" x14ac:dyDescent="0.25"/>
    <row r="358" ht="21" customHeight="1" x14ac:dyDescent="0.25"/>
    <row r="359" ht="21" customHeight="1" x14ac:dyDescent="0.25"/>
    <row r="360" ht="21" customHeight="1" x14ac:dyDescent="0.25"/>
    <row r="361" ht="21" customHeight="1" x14ac:dyDescent="0.25"/>
    <row r="362" ht="21" customHeight="1" x14ac:dyDescent="0.25"/>
    <row r="363" ht="21" customHeight="1" x14ac:dyDescent="0.25"/>
    <row r="364" ht="21" customHeight="1" x14ac:dyDescent="0.25"/>
    <row r="365" ht="21" customHeight="1" x14ac:dyDescent="0.25"/>
    <row r="366" ht="21" customHeight="1" x14ac:dyDescent="0.25"/>
    <row r="367" ht="21" customHeight="1" x14ac:dyDescent="0.25"/>
    <row r="368" ht="21" customHeight="1" x14ac:dyDescent="0.25"/>
    <row r="369" ht="21" customHeight="1" x14ac:dyDescent="0.25"/>
    <row r="370" ht="21" customHeight="1" x14ac:dyDescent="0.25"/>
    <row r="371" ht="21" customHeight="1" x14ac:dyDescent="0.25"/>
    <row r="372" ht="21" customHeight="1" x14ac:dyDescent="0.25"/>
    <row r="373" ht="21" customHeight="1" x14ac:dyDescent="0.25"/>
    <row r="374" ht="21" customHeight="1" x14ac:dyDescent="0.25"/>
    <row r="375" ht="21" customHeight="1" x14ac:dyDescent="0.25"/>
    <row r="376" ht="21" customHeight="1" x14ac:dyDescent="0.25"/>
    <row r="377" ht="21" customHeight="1" x14ac:dyDescent="0.25"/>
    <row r="378" ht="21" customHeight="1" x14ac:dyDescent="0.25"/>
    <row r="379" ht="21" customHeight="1" x14ac:dyDescent="0.25"/>
    <row r="380" ht="21" customHeight="1" x14ac:dyDescent="0.25"/>
    <row r="381" ht="21" customHeight="1" x14ac:dyDescent="0.25"/>
    <row r="382" ht="21" customHeight="1" x14ac:dyDescent="0.25"/>
    <row r="383" ht="21" customHeight="1" x14ac:dyDescent="0.25"/>
    <row r="384" ht="21" customHeight="1" x14ac:dyDescent="0.25"/>
    <row r="385" ht="21" customHeight="1" x14ac:dyDescent="0.25"/>
    <row r="386" ht="21" customHeight="1" x14ac:dyDescent="0.25"/>
    <row r="387" ht="21" customHeight="1" x14ac:dyDescent="0.25"/>
    <row r="388" ht="21" customHeight="1" x14ac:dyDescent="0.25"/>
    <row r="389" ht="21" customHeight="1" x14ac:dyDescent="0.25"/>
    <row r="390" ht="21" customHeight="1" x14ac:dyDescent="0.25"/>
    <row r="391" ht="21" customHeight="1" x14ac:dyDescent="0.25"/>
    <row r="392" ht="21" customHeight="1" x14ac:dyDescent="0.25"/>
    <row r="393" ht="21" customHeight="1" x14ac:dyDescent="0.25"/>
    <row r="394" ht="21" customHeight="1" x14ac:dyDescent="0.25"/>
    <row r="395" ht="21" customHeight="1" x14ac:dyDescent="0.25"/>
    <row r="396" ht="21" customHeight="1" x14ac:dyDescent="0.25"/>
    <row r="397" ht="21" customHeight="1" x14ac:dyDescent="0.25"/>
    <row r="398" ht="21" customHeight="1" x14ac:dyDescent="0.25"/>
    <row r="399" ht="21" customHeight="1" x14ac:dyDescent="0.25"/>
    <row r="400" ht="21" customHeight="1" x14ac:dyDescent="0.25"/>
    <row r="401" ht="21" customHeight="1" x14ac:dyDescent="0.25"/>
    <row r="402" ht="21" customHeight="1" x14ac:dyDescent="0.25"/>
    <row r="403" ht="21" customHeight="1" x14ac:dyDescent="0.25"/>
    <row r="404" ht="21" customHeight="1" x14ac:dyDescent="0.25"/>
    <row r="405" ht="21" customHeight="1" x14ac:dyDescent="0.25"/>
    <row r="406" ht="21" customHeight="1" x14ac:dyDescent="0.25"/>
    <row r="407" ht="21" customHeight="1" x14ac:dyDescent="0.25"/>
    <row r="408" ht="21" customHeight="1" x14ac:dyDescent="0.25"/>
    <row r="409" ht="21" customHeight="1" x14ac:dyDescent="0.25"/>
    <row r="410" ht="21" customHeight="1" x14ac:dyDescent="0.25"/>
    <row r="411" ht="21" customHeight="1" x14ac:dyDescent="0.25"/>
    <row r="412" ht="21" customHeight="1" x14ac:dyDescent="0.25"/>
    <row r="413" ht="21" customHeight="1" x14ac:dyDescent="0.25"/>
    <row r="414" ht="21" customHeight="1" x14ac:dyDescent="0.25"/>
    <row r="415" ht="21" customHeight="1" x14ac:dyDescent="0.25"/>
    <row r="416" ht="21" customHeight="1" x14ac:dyDescent="0.25"/>
    <row r="417" ht="21" customHeight="1" x14ac:dyDescent="0.25"/>
    <row r="418" ht="21" customHeight="1" x14ac:dyDescent="0.25"/>
    <row r="419" ht="21" customHeight="1" x14ac:dyDescent="0.25"/>
    <row r="420" ht="21" customHeight="1" x14ac:dyDescent="0.25"/>
    <row r="421" ht="21" customHeight="1" x14ac:dyDescent="0.25"/>
    <row r="422" ht="21" customHeight="1" x14ac:dyDescent="0.25"/>
    <row r="423" ht="21" customHeight="1" x14ac:dyDescent="0.25"/>
    <row r="424" ht="21" customHeight="1" x14ac:dyDescent="0.25"/>
    <row r="425" ht="21" customHeight="1" x14ac:dyDescent="0.25"/>
    <row r="426" ht="21" customHeight="1" x14ac:dyDescent="0.25"/>
    <row r="427" ht="21" customHeight="1" x14ac:dyDescent="0.25"/>
    <row r="428" ht="21" customHeight="1" x14ac:dyDescent="0.25"/>
    <row r="429" ht="21" customHeight="1" x14ac:dyDescent="0.25"/>
    <row r="430" ht="21" customHeight="1" x14ac:dyDescent="0.25"/>
    <row r="431" ht="21" customHeight="1" x14ac:dyDescent="0.25"/>
    <row r="432" ht="21" customHeight="1" x14ac:dyDescent="0.25"/>
    <row r="433" ht="21" customHeight="1" x14ac:dyDescent="0.25"/>
    <row r="434" ht="21" customHeight="1" x14ac:dyDescent="0.25"/>
    <row r="435" ht="21" customHeight="1" x14ac:dyDescent="0.25"/>
    <row r="436" ht="21" customHeight="1" x14ac:dyDescent="0.25"/>
    <row r="437" ht="21" customHeight="1" x14ac:dyDescent="0.25"/>
    <row r="438" ht="21" customHeight="1" x14ac:dyDescent="0.25"/>
    <row r="439" ht="21" customHeight="1" x14ac:dyDescent="0.25"/>
    <row r="440" ht="21" customHeight="1" x14ac:dyDescent="0.25"/>
    <row r="441" ht="21" customHeight="1" x14ac:dyDescent="0.25"/>
    <row r="442" ht="21" customHeight="1" x14ac:dyDescent="0.25"/>
    <row r="443" ht="21" customHeight="1" x14ac:dyDescent="0.25"/>
    <row r="444" ht="21" customHeight="1" x14ac:dyDescent="0.25"/>
    <row r="445" ht="21" customHeight="1" x14ac:dyDescent="0.25"/>
    <row r="446" ht="21" customHeight="1" x14ac:dyDescent="0.25"/>
    <row r="447" ht="21" customHeight="1" x14ac:dyDescent="0.25"/>
    <row r="448" ht="21" customHeight="1" x14ac:dyDescent="0.25"/>
    <row r="449" ht="21" customHeight="1" x14ac:dyDescent="0.25"/>
    <row r="450" ht="21" customHeight="1" x14ac:dyDescent="0.25"/>
    <row r="451" ht="21" customHeight="1" x14ac:dyDescent="0.25"/>
    <row r="452" ht="21" customHeight="1" x14ac:dyDescent="0.25"/>
    <row r="453" ht="21" customHeight="1" x14ac:dyDescent="0.25"/>
    <row r="454" ht="21" customHeight="1" x14ac:dyDescent="0.25"/>
    <row r="455" ht="21" customHeight="1" x14ac:dyDescent="0.25"/>
    <row r="456" ht="21" customHeight="1" x14ac:dyDescent="0.25"/>
    <row r="457" ht="21" customHeight="1" x14ac:dyDescent="0.25"/>
    <row r="458" ht="21" customHeight="1" x14ac:dyDescent="0.25"/>
    <row r="459" ht="21" customHeight="1" x14ac:dyDescent="0.25"/>
    <row r="460" ht="21" customHeight="1" x14ac:dyDescent="0.25"/>
    <row r="461" ht="21" customHeight="1" x14ac:dyDescent="0.25"/>
    <row r="462" ht="21" customHeight="1" x14ac:dyDescent="0.25"/>
    <row r="463" ht="21" customHeight="1" x14ac:dyDescent="0.25"/>
    <row r="464" ht="21" customHeight="1" x14ac:dyDescent="0.25"/>
    <row r="465" ht="21" customHeight="1" x14ac:dyDescent="0.25"/>
    <row r="466" ht="21" customHeight="1" x14ac:dyDescent="0.25"/>
    <row r="467" ht="21" customHeight="1" x14ac:dyDescent="0.25"/>
    <row r="468" ht="21" customHeight="1" x14ac:dyDescent="0.25"/>
    <row r="469" ht="21" customHeight="1" x14ac:dyDescent="0.25"/>
    <row r="470" ht="21" customHeight="1" x14ac:dyDescent="0.25"/>
    <row r="471" ht="21" customHeight="1" x14ac:dyDescent="0.25"/>
    <row r="472" ht="21" customHeight="1" x14ac:dyDescent="0.25"/>
    <row r="473" ht="21" customHeight="1" x14ac:dyDescent="0.25"/>
    <row r="474" ht="21" customHeight="1" x14ac:dyDescent="0.25"/>
    <row r="475" ht="21" customHeight="1" x14ac:dyDescent="0.25"/>
    <row r="476" ht="21" customHeight="1" x14ac:dyDescent="0.25"/>
    <row r="477" ht="21" customHeight="1" x14ac:dyDescent="0.25"/>
    <row r="478" ht="21" customHeight="1" x14ac:dyDescent="0.25"/>
    <row r="479" ht="21" customHeight="1" x14ac:dyDescent="0.25"/>
    <row r="480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  <row r="539" ht="21" customHeight="1" x14ac:dyDescent="0.25"/>
    <row r="540" ht="21" customHeight="1" x14ac:dyDescent="0.25"/>
    <row r="541" ht="21" customHeight="1" x14ac:dyDescent="0.25"/>
    <row r="542" ht="21" customHeight="1" x14ac:dyDescent="0.25"/>
    <row r="543" ht="21" customHeight="1" x14ac:dyDescent="0.25"/>
    <row r="544" ht="21" customHeight="1" x14ac:dyDescent="0.25"/>
    <row r="545" ht="21" customHeight="1" x14ac:dyDescent="0.25"/>
    <row r="546" ht="21" customHeight="1" x14ac:dyDescent="0.25"/>
    <row r="547" ht="21" customHeight="1" x14ac:dyDescent="0.25"/>
    <row r="548" ht="21" customHeight="1" x14ac:dyDescent="0.25"/>
    <row r="549" ht="21" customHeight="1" x14ac:dyDescent="0.25"/>
    <row r="550" ht="21" customHeight="1" x14ac:dyDescent="0.25"/>
    <row r="551" ht="21" customHeight="1" x14ac:dyDescent="0.25"/>
    <row r="552" ht="21" customHeight="1" x14ac:dyDescent="0.25"/>
    <row r="553" ht="21" customHeight="1" x14ac:dyDescent="0.25"/>
    <row r="554" ht="21" customHeight="1" x14ac:dyDescent="0.25"/>
    <row r="555" ht="21" customHeight="1" x14ac:dyDescent="0.25"/>
    <row r="556" ht="21" customHeight="1" x14ac:dyDescent="0.25"/>
    <row r="557" ht="21" customHeight="1" x14ac:dyDescent="0.25"/>
    <row r="558" ht="21" customHeight="1" x14ac:dyDescent="0.25"/>
    <row r="559" ht="21" customHeight="1" x14ac:dyDescent="0.25"/>
    <row r="560" ht="21" customHeight="1" x14ac:dyDescent="0.25"/>
    <row r="561" ht="21" customHeight="1" x14ac:dyDescent="0.25"/>
    <row r="562" ht="21" customHeight="1" x14ac:dyDescent="0.25"/>
    <row r="563" ht="21" customHeight="1" x14ac:dyDescent="0.25"/>
    <row r="564" ht="21" customHeight="1" x14ac:dyDescent="0.25"/>
    <row r="565" ht="21" customHeight="1" x14ac:dyDescent="0.25"/>
    <row r="566" ht="21" customHeight="1" x14ac:dyDescent="0.25"/>
    <row r="567" ht="21" customHeight="1" x14ac:dyDescent="0.25"/>
    <row r="568" ht="21" customHeight="1" x14ac:dyDescent="0.25"/>
    <row r="569" ht="21" customHeight="1" x14ac:dyDescent="0.25"/>
    <row r="570" ht="21" customHeight="1" x14ac:dyDescent="0.25"/>
    <row r="571" ht="21" customHeight="1" x14ac:dyDescent="0.25"/>
    <row r="572" ht="21" customHeight="1" x14ac:dyDescent="0.25"/>
    <row r="573" ht="21" customHeight="1" x14ac:dyDescent="0.25"/>
    <row r="574" ht="21" customHeight="1" x14ac:dyDescent="0.25"/>
    <row r="575" ht="21" customHeight="1" x14ac:dyDescent="0.25"/>
    <row r="576" ht="21" customHeight="1" x14ac:dyDescent="0.25"/>
    <row r="577" ht="21" customHeight="1" x14ac:dyDescent="0.25"/>
    <row r="578" ht="21" customHeight="1" x14ac:dyDescent="0.25"/>
    <row r="579" ht="21" customHeight="1" x14ac:dyDescent="0.25"/>
    <row r="580" ht="21" customHeight="1" x14ac:dyDescent="0.25"/>
  </sheetData>
  <mergeCells count="10">
    <mergeCell ref="A1:C2"/>
    <mergeCell ref="D1:F2"/>
    <mergeCell ref="G1:O1"/>
    <mergeCell ref="P1:W1"/>
    <mergeCell ref="X1:X3"/>
    <mergeCell ref="G2:J2"/>
    <mergeCell ref="K2:O2"/>
    <mergeCell ref="Q2:R2"/>
    <mergeCell ref="T2:U2"/>
    <mergeCell ref="V2:W2"/>
  </mergeCells>
  <conditionalFormatting sqref="J4:J31">
    <cfRule type="cellIs" dxfId="8" priority="16" operator="between">
      <formula>$O$1+30</formula>
      <formula>$O$1+60</formula>
    </cfRule>
    <cfRule type="cellIs" dxfId="7" priority="17" operator="between">
      <formula>$O$1</formula>
      <formula>$O$1+30</formula>
    </cfRule>
    <cfRule type="cellIs" dxfId="6" priority="18" operator="lessThanOrEqual">
      <formula>$O$1</formula>
    </cfRule>
  </conditionalFormatting>
  <conditionalFormatting sqref="N4:N30">
    <cfRule type="cellIs" dxfId="5" priority="7" operator="between">
      <formula>$O$1+30</formula>
      <formula>$O$1+60</formula>
    </cfRule>
    <cfRule type="cellIs" dxfId="4" priority="8" operator="between">
      <formula>$O$1</formula>
      <formula>$O$1+30</formula>
    </cfRule>
    <cfRule type="cellIs" dxfId="3" priority="9" operator="lessThanOrEqual">
      <formula>$O$1</formula>
    </cfRule>
  </conditionalFormatting>
  <conditionalFormatting sqref="N31">
    <cfRule type="cellIs" dxfId="2" priority="10" operator="between">
      <formula>$AE$1+30</formula>
      <formula>$AE$1+60</formula>
    </cfRule>
    <cfRule type="cellIs" dxfId="1" priority="11" operator="between">
      <formula>$AE$1</formula>
      <formula>$AE$1+30</formula>
    </cfRule>
    <cfRule type="cellIs" dxfId="0" priority="12" operator="lessThanOrEqual">
      <formula>$AE$1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 Elementos Refuellers</vt:lpstr>
      <vt:lpstr> Elementos Plantas</vt:lpstr>
      <vt:lpstr>RES R+P</vt:lpstr>
      <vt:lpstr>Costos</vt:lpstr>
      <vt:lpstr>Tabla dinamica</vt:lpstr>
      <vt:lpstr>TOTAL ELEMENTOS Y SIMILARIDAD</vt:lpstr>
      <vt:lpstr>Carcasas Refuellers </vt:lpstr>
      <vt:lpstr>PTA</vt:lpstr>
      <vt:lpstr>' Elementos Plantas'!Área_de_impresión</vt:lpstr>
      <vt:lpstr>' Elementos Refuellers'!Área_de_impresión</vt:lpstr>
      <vt:lpstr>'RES R+P'!Área_de_impresión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2025-12-26T21:06:00Z</dcterms:modified>
  <cp:category/>
  <cp:contentStatus/>
</cp:coreProperties>
</file>